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xl/revisions/revisionHeaders.xml" ContentType="application/vnd.openxmlformats-officedocument.spreadsheetml.revisionHeaders+xml"/>
  <Override PartName="/xl/revisions/revisionLog358.xml" ContentType="application/vnd.openxmlformats-officedocument.spreadsheetml.revisionLog+xml"/>
  <Override PartName="/xl/revisions/userNames.xml" ContentType="application/vnd.openxmlformats-officedocument.spreadsheetml.userNam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revisions/revisionLog64.xml" ContentType="application/vnd.openxmlformats-officedocument.spreadsheetml.revisionLog+xml"/>
  <Override PartName="/xl/revisions/revisionLog246.xml" ContentType="application/vnd.openxmlformats-officedocument.spreadsheetml.revisionLog+xml"/>
  <Override PartName="/xl/revisions/revisionLog250.xml" ContentType="application/vnd.openxmlformats-officedocument.spreadsheetml.revisionLog+xml"/>
  <Override PartName="/xl/revisions/revisionLog8.xml" ContentType="application/vnd.openxmlformats-officedocument.spreadsheetml.revisionLog+xml"/>
  <Override PartName="/xl/revisions/revisionLog31.xml" ContentType="application/vnd.openxmlformats-officedocument.spreadsheetml.revisionLog+xml"/>
  <Override PartName="/xl/revisions/revisionLog85.xml" ContentType="application/vnd.openxmlformats-officedocument.spreadsheetml.revisionLog+xml"/>
  <Override PartName="/xl/revisions/revisionLog106.xml" ContentType="application/vnd.openxmlformats-officedocument.spreadsheetml.revisionLog+xml"/>
  <Override PartName="/xl/revisions/revisionLog271.xml" ContentType="application/vnd.openxmlformats-officedocument.spreadsheetml.revisionLog+xml"/>
  <Override PartName="/xl/revisions/revisionLog292.xml" ContentType="application/vnd.openxmlformats-officedocument.spreadsheetml.revisionLog+xml"/>
  <Override PartName="/xl/revisions/revisionLog313.xml" ContentType="application/vnd.openxmlformats-officedocument.spreadsheetml.revisionLog+xml"/>
  <Override PartName="/xl/revisions/revisionLog334.xml" ContentType="application/vnd.openxmlformats-officedocument.spreadsheetml.revisionLog+xml"/>
  <Override PartName="/xl/revisions/revisionLog117.xml" ContentType="application/vnd.openxmlformats-officedocument.spreadsheetml.revisionLog+xml"/>
  <Override PartName="/xl/revisions/revisionLog138.xml" ContentType="application/vnd.openxmlformats-officedocument.spreadsheetml.revisionLog+xml"/>
  <Override PartName="/xl/revisions/revisionLog152.xml" ContentType="application/vnd.openxmlformats-officedocument.spreadsheetml.revisionLog+xml"/>
  <Override PartName="/xl/revisions/revisionLog173.xml" ContentType="application/vnd.openxmlformats-officedocument.spreadsheetml.revisionLog+xml"/>
  <Override PartName="/xl/revisions/revisionLog194.xml" ContentType="application/vnd.openxmlformats-officedocument.spreadsheetml.revisionLog+xml"/>
  <Override PartName="/xl/revisions/revisionLog54.xml" ContentType="application/vnd.openxmlformats-officedocument.spreadsheetml.revisionLog+xml"/>
  <Override PartName="/xl/revisions/revisionLog215.xml" ContentType="application/vnd.openxmlformats-officedocument.spreadsheetml.revisionLog+xml"/>
  <Override PartName="/xl/revisions/revisionLog236.xml" ContentType="application/vnd.openxmlformats-officedocument.spreadsheetml.revisionLog+xml"/>
  <Override PartName="/xl/revisions/revisionLog21.xml" ContentType="application/vnd.openxmlformats-officedocument.spreadsheetml.revisionLog+xml"/>
  <Override PartName="/xl/revisions/revisionLog75.xml" ContentType="application/vnd.openxmlformats-officedocument.spreadsheetml.revisionLog+xml"/>
  <Override PartName="/xl/revisions/revisionLog96.xml" ContentType="application/vnd.openxmlformats-officedocument.spreadsheetml.revisionLog+xml"/>
  <Override PartName="/xl/revisions/revisionLog261.xml" ContentType="application/vnd.openxmlformats-officedocument.spreadsheetml.revisionLog+xml"/>
  <Override PartName="/xl/revisions/revisionLog282.xml" ContentType="application/vnd.openxmlformats-officedocument.spreadsheetml.revisionLog+xml"/>
  <Override PartName="/xl/revisions/revisionLog303.xml" ContentType="application/vnd.openxmlformats-officedocument.spreadsheetml.revisionLog+xml"/>
  <Override PartName="/xl/revisions/revisionLog324.xml" ContentType="application/vnd.openxmlformats-officedocument.spreadsheetml.revisionLog+xml"/>
  <Override PartName="/xl/revisions/revisionLog345.xml" ContentType="application/vnd.openxmlformats-officedocument.spreadsheetml.revisionLog+xml"/>
  <Override PartName="/xl/revisions/revisionLog42.xml" ContentType="application/vnd.openxmlformats-officedocument.spreadsheetml.revisionLog+xml"/>
  <Override PartName="/xl/revisions/revisionLog107.xml" ContentType="application/vnd.openxmlformats-officedocument.spreadsheetml.revisionLog+xml"/>
  <Override PartName="/xl/revisions/revisionLog128.xml" ContentType="application/vnd.openxmlformats-officedocument.spreadsheetml.revisionLog+xml"/>
  <Override PartName="/xl/revisions/revisionLog163.xml" ContentType="application/vnd.openxmlformats-officedocument.spreadsheetml.revisionLog+xml"/>
  <Override PartName="/xl/revisions/revisionLog184.xml" ContentType="application/vnd.openxmlformats-officedocument.spreadsheetml.revisionLog+xml"/>
  <Override PartName="/xl/revisions/revisionLog349.xml" ContentType="application/vnd.openxmlformats-officedocument.spreadsheetml.revisionLog+xml"/>
  <Override PartName="/xl/revisions/revisionLog205.xml" ContentType="application/vnd.openxmlformats-officedocument.spreadsheetml.revisionLog+xml"/>
  <Override PartName="/xl/revisions/revisionLog226.xml" ContentType="application/vnd.openxmlformats-officedocument.spreadsheetml.revisionLog+xml"/>
  <Override PartName="/xl/revisions/revisionLog9.xml" ContentType="application/vnd.openxmlformats-officedocument.spreadsheetml.revisionLog+xml"/>
  <Override PartName="/xl/revisions/revisionLog65.xml" ContentType="application/vnd.openxmlformats-officedocument.spreadsheetml.revisionLog+xml"/>
  <Override PartName="/xl/revisions/revisionLog86.xml" ContentType="application/vnd.openxmlformats-officedocument.spreadsheetml.revisionLog+xml"/>
  <Override PartName="/xl/revisions/revisionLog237.xml" ContentType="application/vnd.openxmlformats-officedocument.spreadsheetml.revisionLog+xml"/>
  <Override PartName="/xl/revisions/revisionLog251.xml" ContentType="application/vnd.openxmlformats-officedocument.spreadsheetml.revisionLog+xml"/>
  <Override PartName="/xl/revisions/revisionLog272.xml" ContentType="application/vnd.openxmlformats-officedocument.spreadsheetml.revisionLog+xml"/>
  <Override PartName="/xl/revisions/revisionLog293.xml" ContentType="application/vnd.openxmlformats-officedocument.spreadsheetml.revisionLog+xml"/>
  <Override PartName="/xl/revisions/revisionLog314.xml" ContentType="application/vnd.openxmlformats-officedocument.spreadsheetml.revisionLog+xml"/>
  <Override PartName="/xl/revisions/revisionLog335.xml" ContentType="application/vnd.openxmlformats-officedocument.spreadsheetml.revisionLog+xml"/>
  <Override PartName="/xl/revisions/revisionLog32.xml" ContentType="application/vnd.openxmlformats-officedocument.spreadsheetml.revisionLog+xml"/>
  <Override PartName="/xl/revisions/revisionLog97.xml" ContentType="application/vnd.openxmlformats-officedocument.spreadsheetml.revisionLog+xml"/>
  <Override PartName="/xl/revisions/revisionLog118.xml" ContentType="application/vnd.openxmlformats-officedocument.spreadsheetml.revisionLog+xml"/>
  <Override PartName="/xl/revisions/revisionLog139.xml" ContentType="application/vnd.openxmlformats-officedocument.spreadsheetml.revisionLog+xml"/>
  <Override PartName="/xl/revisions/revisionLog153.xml" ContentType="application/vnd.openxmlformats-officedocument.spreadsheetml.revisionLog+xml"/>
  <Override PartName="/xl/revisions/revisionLog174.xml" ContentType="application/vnd.openxmlformats-officedocument.spreadsheetml.revisionLog+xml"/>
  <Override PartName="/xl/revisions/revisionLog195.xml" ContentType="application/vnd.openxmlformats-officedocument.spreadsheetml.revisionLog+xml"/>
  <Override PartName="/xl/revisions/revisionLog216.xml" ContentType="application/vnd.openxmlformats-officedocument.spreadsheetml.revisionLog+xml"/>
  <Override PartName="/xl/revisions/revisionLog55.xml" ContentType="application/vnd.openxmlformats-officedocument.spreadsheetml.revisionLog+xml"/>
  <Override PartName="/xl/revisions/revisionLog76.xml" ContentType="application/vnd.openxmlformats-officedocument.spreadsheetml.revisionLog+xml"/>
  <Override PartName="/xl/revisions/revisionLog227.xml" ContentType="application/vnd.openxmlformats-officedocument.spreadsheetml.revisionLog+xml"/>
  <Override PartName="/xl/revisions/revisionLog262.xml" ContentType="application/vnd.openxmlformats-officedocument.spreadsheetml.revisionLog+xml"/>
  <Override PartName="/xl/revisions/revisionLog283.xml" ContentType="application/vnd.openxmlformats-officedocument.spreadsheetml.revisionLog+xml"/>
  <Override PartName="/xl/revisions/revisionLog304.xml" ContentType="application/vnd.openxmlformats-officedocument.spreadsheetml.revisionLog+xml"/>
  <Override PartName="/xl/revisions/revisionLog17.xml" ContentType="application/vnd.openxmlformats-officedocument.spreadsheetml.revisionLog+xml"/>
  <Override PartName="/xl/revisions/revisionLog22.xml" ContentType="application/vnd.openxmlformats-officedocument.spreadsheetml.revisionLog+xml"/>
  <Override PartName="/xl/revisions/revisionLog43.xml" ContentType="application/vnd.openxmlformats-officedocument.spreadsheetml.revisionLog+xml"/>
  <Override PartName="/xl/revisions/revisionLog87.xml" ContentType="application/vnd.openxmlformats-officedocument.spreadsheetml.revisionLog+xml"/>
  <Override PartName="/xl/revisions/revisionLog108.xml" ContentType="application/vnd.openxmlformats-officedocument.spreadsheetml.revisionLog+xml"/>
  <Override PartName="/xl/revisions/revisionLog129.xml" ContentType="application/vnd.openxmlformats-officedocument.spreadsheetml.revisionLog+xml"/>
  <Override PartName="/xl/revisions/revisionLog164.xml" ContentType="application/vnd.openxmlformats-officedocument.spreadsheetml.revisionLog+xml"/>
  <Override PartName="/xl/revisions/revisionLog325.xml" ContentType="application/vnd.openxmlformats-officedocument.spreadsheetml.revisionLog+xml"/>
  <Override PartName="/xl/revisions/revisionLog346.xml" ContentType="application/vnd.openxmlformats-officedocument.spreadsheetml.revisionLog+xml"/>
  <Override PartName="/xl/revisions/revisionLog350.xml" ContentType="application/vnd.openxmlformats-officedocument.spreadsheetml.revisionLog+xml"/>
  <Override PartName="/xl/revisions/revisionLog185.xml" ContentType="application/vnd.openxmlformats-officedocument.spreadsheetml.revisionLog+xml"/>
  <Override PartName="/xl/revisions/revisionLog206.xml" ContentType="application/vnd.openxmlformats-officedocument.spreadsheetml.revisionLog+xml"/>
  <Override PartName="/xl/revisions/revisionLog66.xml" ContentType="application/vnd.openxmlformats-officedocument.spreadsheetml.revisionLog+xml"/>
  <Override PartName="/xl/revisions/revisionLog217.xml" ContentType="application/vnd.openxmlformats-officedocument.spreadsheetml.revisionLog+xml"/>
  <Override PartName="/xl/revisions/revisionLog238.xml" ContentType="application/vnd.openxmlformats-officedocument.spreadsheetml.revisionLog+xml"/>
  <Override PartName="/xl/revisions/revisionLog252.xml" ContentType="application/vnd.openxmlformats-officedocument.spreadsheetml.revisionLog+xml"/>
  <Override PartName="/xl/revisions/revisionLog273.xml" ContentType="application/vnd.openxmlformats-officedocument.spreadsheetml.revisionLog+xml"/>
  <Override PartName="/xl/revisions/revisionLog294.xml" ContentType="application/vnd.openxmlformats-officedocument.spreadsheetml.revisionLog+xml"/>
  <Override PartName="/xl/revisions/revisionLog10.xml" ContentType="application/vnd.openxmlformats-officedocument.spreadsheetml.revisionLog+xml"/>
  <Override PartName="/xl/revisions/revisionLog33.xml" ContentType="application/vnd.openxmlformats-officedocument.spreadsheetml.revisionLog+xml"/>
  <Override PartName="/xl/revisions/revisionLog77.xml" ContentType="application/vnd.openxmlformats-officedocument.spreadsheetml.revisionLog+xml"/>
  <Override PartName="/xl/revisions/revisionLog98.xml" ContentType="application/vnd.openxmlformats-officedocument.spreadsheetml.revisionLog+xml"/>
  <Override PartName="/xl/revisions/revisionLog315.xml" ContentType="application/vnd.openxmlformats-officedocument.spreadsheetml.revisionLog+xml"/>
  <Override PartName="/xl/revisions/revisionLog336.xml" ContentType="application/vnd.openxmlformats-officedocument.spreadsheetml.revisionLog+xml"/>
  <Override PartName="/xl/revisions/revisionLog119.xml" ContentType="application/vnd.openxmlformats-officedocument.spreadsheetml.revisionLog+xml"/>
  <Override PartName="/xl/revisions/revisionLog140.xml" ContentType="application/vnd.openxmlformats-officedocument.spreadsheetml.revisionLog+xml"/>
  <Override PartName="/xl/revisions/revisionLog154.xml" ContentType="application/vnd.openxmlformats-officedocument.spreadsheetml.revisionLog+xml"/>
  <Override PartName="/xl/revisions/revisionLog175.xml" ContentType="application/vnd.openxmlformats-officedocument.spreadsheetml.revisionLog+xml"/>
  <Override PartName="/xl/revisions/revisionLog196.xml" ContentType="application/vnd.openxmlformats-officedocument.spreadsheetml.revisionLog+xml"/>
  <Override PartName="/xl/revisions/revisionLog56.xml" ContentType="application/vnd.openxmlformats-officedocument.spreadsheetml.revisionLog+xml"/>
  <Override PartName="/xl/revisions/revisionLog207.xml" ContentType="application/vnd.openxmlformats-officedocument.spreadsheetml.revisionLog+xml"/>
  <Override PartName="/xl/revisions/revisionLog228.xml" ContentType="application/vnd.openxmlformats-officedocument.spreadsheetml.revisionLog+xml"/>
  <Override PartName="/xl/revisions/revisionLog263.xml" ContentType="application/vnd.openxmlformats-officedocument.spreadsheetml.revisionLog+xml"/>
  <Override PartName="/xl/revisions/revisionLog284.xml" ContentType="application/vnd.openxmlformats-officedocument.spreadsheetml.revisionLog+xml"/>
  <Override PartName="/xl/revisions/revisionLog18.xml" ContentType="application/vnd.openxmlformats-officedocument.spreadsheetml.revisionLog+xml"/>
  <Override PartName="/xl/revisions/revisionLog23.xml" ContentType="application/vnd.openxmlformats-officedocument.spreadsheetml.revisionLog+xml"/>
  <Override PartName="/xl/revisions/revisionLog44.xml" ContentType="application/vnd.openxmlformats-officedocument.spreadsheetml.revisionLog+xml"/>
  <Override PartName="/xl/revisions/revisionLog67.xml" ContentType="application/vnd.openxmlformats-officedocument.spreadsheetml.revisionLog+xml"/>
  <Override PartName="/xl/revisions/revisionLog88.xml" ContentType="application/vnd.openxmlformats-officedocument.spreadsheetml.revisionLog+xml"/>
  <Override PartName="/xl/revisions/revisionLog305.xml" ContentType="application/vnd.openxmlformats-officedocument.spreadsheetml.revisionLog+xml"/>
  <Override PartName="/xl/revisions/revisionLog326.xml" ContentType="application/vnd.openxmlformats-officedocument.spreadsheetml.revisionLog+xml"/>
  <Override PartName="/xl/revisions/revisionLog109.xml" ContentType="application/vnd.openxmlformats-officedocument.spreadsheetml.revisionLog+xml"/>
  <Override PartName="/xl/revisions/revisionLog130.xml" ContentType="application/vnd.openxmlformats-officedocument.spreadsheetml.revisionLog+xml"/>
  <Override PartName="/xl/revisions/revisionLog165.xml" ContentType="application/vnd.openxmlformats-officedocument.spreadsheetml.revisionLog+xml"/>
  <Override PartName="/xl/revisions/revisionLog186.xml" ContentType="application/vnd.openxmlformats-officedocument.spreadsheetml.revisionLog+xml"/>
  <Override PartName="/xl/revisions/revisionLog337.xml" ContentType="application/vnd.openxmlformats-officedocument.spreadsheetml.revisionLog+xml"/>
  <Override PartName="/xl/revisions/revisionLog351.xml" ContentType="application/vnd.openxmlformats-officedocument.spreadsheetml.revisionLog+xml"/>
  <Override PartName="/xl/revisions/revisionLog197.xml" ContentType="application/vnd.openxmlformats-officedocument.spreadsheetml.revisionLog+xml"/>
  <Override PartName="/xl/revisions/revisionLog218.xml" ContentType="application/vnd.openxmlformats-officedocument.spreadsheetml.revisionLog+xml"/>
  <Override PartName="/xl/revisions/revisionLog239.xml" ContentType="application/vnd.openxmlformats-officedocument.spreadsheetml.revisionLog+xml"/>
  <Override PartName="/xl/revisions/revisionLog253.xml" ContentType="application/vnd.openxmlformats-officedocument.spreadsheetml.revisionLog+xml"/>
  <Override PartName="/xl/revisions/revisionLog11.xml" ContentType="application/vnd.openxmlformats-officedocument.spreadsheetml.revisionLog+xml"/>
  <Override PartName="/xl/revisions/revisionLog34.xml" ContentType="application/vnd.openxmlformats-officedocument.spreadsheetml.revisionLog+xml"/>
  <Override PartName="/xl/revisions/revisionLog57.xml" ContentType="application/vnd.openxmlformats-officedocument.spreadsheetml.revisionLog+xml"/>
  <Override PartName="/xl/revisions/revisionLog78.xml" ContentType="application/vnd.openxmlformats-officedocument.spreadsheetml.revisionLog+xml"/>
  <Override PartName="/xl/revisions/revisionLog274.xml" ContentType="application/vnd.openxmlformats-officedocument.spreadsheetml.revisionLog+xml"/>
  <Override PartName="/xl/revisions/revisionLog295.xml" ContentType="application/vnd.openxmlformats-officedocument.spreadsheetml.revisionLog+xml"/>
  <Override PartName="/xl/revisions/revisionLog316.xml" ContentType="application/vnd.openxmlformats-officedocument.spreadsheetml.revisionLog+xml"/>
  <Override PartName="/xl/revisions/revisionLog99.xml" ContentType="application/vnd.openxmlformats-officedocument.spreadsheetml.revisionLog+xml"/>
  <Override PartName="/xl/revisions/revisionLog120.xml" ContentType="application/vnd.openxmlformats-officedocument.spreadsheetml.revisionLog+xml"/>
  <Override PartName="/xl/revisions/revisionLog141.xml" ContentType="application/vnd.openxmlformats-officedocument.spreadsheetml.revisionLog+xml"/>
  <Override PartName="/xl/revisions/revisionLog155.xml" ContentType="application/vnd.openxmlformats-officedocument.spreadsheetml.revisionLog+xml"/>
  <Override PartName="/xl/revisions/revisionLog176.xml" ContentType="application/vnd.openxmlformats-officedocument.spreadsheetml.revisionLog+xml"/>
  <Override PartName="/xl/revisions/revisionLog327.xml" ContentType="application/vnd.openxmlformats-officedocument.spreadsheetml.revisionLog+xml"/>
  <Override PartName="/xl/revisions/revisionLog187.xml" ContentType="application/vnd.openxmlformats-officedocument.spreadsheetml.revisionLog+xml"/>
  <Override PartName="/xl/revisions/revisionLog208.xml" ContentType="application/vnd.openxmlformats-officedocument.spreadsheetml.revisionLog+xml"/>
  <Override PartName="/xl/revisions/revisionLog1.xml" ContentType="application/vnd.openxmlformats-officedocument.spreadsheetml.revisionLog+xml"/>
  <Override PartName="/xl/revisions/revisionLog24.xml" ContentType="application/vnd.openxmlformats-officedocument.spreadsheetml.revisionLog+xml"/>
  <Override PartName="/xl/revisions/revisionLog47.xml" ContentType="application/vnd.openxmlformats-officedocument.spreadsheetml.revisionLog+xml"/>
  <Override PartName="/xl/revisions/revisionLog229.xml" ContentType="application/vnd.openxmlformats-officedocument.spreadsheetml.revisionLog+xml"/>
  <Override PartName="/xl/revisions/revisionLog264.xml" ContentType="application/vnd.openxmlformats-officedocument.spreadsheetml.revisionLog+xml"/>
  <Override PartName="/xl/revisions/revisionLog285.xml" ContentType="application/vnd.openxmlformats-officedocument.spreadsheetml.revisionLog+xml"/>
  <Override PartName="/xl/revisions/revisionLog306.xml" ContentType="application/vnd.openxmlformats-officedocument.spreadsheetml.revisionLog+xml"/>
  <Override PartName="/xl/revisions/revisionLog45.xml" ContentType="application/vnd.openxmlformats-officedocument.spreadsheetml.revisionLog+xml"/>
  <Override PartName="/xl/revisions/revisionLog68.xml" ContentType="application/vnd.openxmlformats-officedocument.spreadsheetml.revisionLog+xml"/>
  <Override PartName="/xl/revisions/revisionLog89.xml" ContentType="application/vnd.openxmlformats-officedocument.spreadsheetml.revisionLog+xml"/>
  <Override PartName="/xl/revisions/revisionLog110.xml" ContentType="application/vnd.openxmlformats-officedocument.spreadsheetml.revisionLog+xml"/>
  <Override PartName="/xl/revisions/revisionLog131.xml" ContentType="application/vnd.openxmlformats-officedocument.spreadsheetml.revisionLog+xml"/>
  <Override PartName="/xl/revisions/revisionLog166.xml" ContentType="application/vnd.openxmlformats-officedocument.spreadsheetml.revisionLog+xml"/>
  <Override PartName="/xl/revisions/revisionLog317.xml" ContentType="application/vnd.openxmlformats-officedocument.spreadsheetml.revisionLog+xml"/>
  <Override PartName="/xl/revisions/revisionLog338.xml" ContentType="application/vnd.openxmlformats-officedocument.spreadsheetml.revisionLog+xml"/>
  <Override PartName="/xl/revisions/revisionLog352.xml" ContentType="application/vnd.openxmlformats-officedocument.spreadsheetml.revisionLog+xml"/>
  <Override PartName="/xl/revisions/revisionLog177.xml" ContentType="application/vnd.openxmlformats-officedocument.spreadsheetml.revisionLog+xml"/>
  <Override PartName="/xl/revisions/revisionLog198.xml" ContentType="application/vnd.openxmlformats-officedocument.spreadsheetml.revisionLog+xml"/>
  <Override PartName="/xl/revisions/revisionLog12.xml" ContentType="application/vnd.openxmlformats-officedocument.spreadsheetml.revisionLog+xml"/>
  <Override PartName="/xl/revisions/revisionLog219.xml" ContentType="application/vnd.openxmlformats-officedocument.spreadsheetml.revisionLog+xml"/>
  <Override PartName="/xl/revisions/revisionLog240.xml" ContentType="application/vnd.openxmlformats-officedocument.spreadsheetml.revisionLog+xml"/>
  <Override PartName="/xl/revisions/revisionLog254.xml" ContentType="application/vnd.openxmlformats-officedocument.spreadsheetml.revisionLog+xml"/>
  <Override PartName="/xl/revisions/revisionLog275.xml" ContentType="application/vnd.openxmlformats-officedocument.spreadsheetml.revisionLog+xml"/>
  <Override PartName="/xl/revisions/revisionLog296.xml" ContentType="application/vnd.openxmlformats-officedocument.spreadsheetml.revisionLog+xml"/>
  <Override PartName="/xl/revisions/revisionLog35.xml" ContentType="application/vnd.openxmlformats-officedocument.spreadsheetml.revisionLog+xml"/>
  <Override PartName="/xl/revisions/revisionLog58.xml" ContentType="application/vnd.openxmlformats-officedocument.spreadsheetml.revisionLog+xml"/>
  <Override PartName="/xl/revisions/revisionLog79.xml" ContentType="application/vnd.openxmlformats-officedocument.spreadsheetml.revisionLog+xml"/>
  <Override PartName="/xl/revisions/revisionLog100.xml" ContentType="application/vnd.openxmlformats-officedocument.spreadsheetml.revisionLog+xml"/>
  <Override PartName="/xl/revisions/revisionLog121.xml" ContentType="application/vnd.openxmlformats-officedocument.spreadsheetml.revisionLog+xml"/>
  <Override PartName="/xl/revisions/revisionLog142.xml" ContentType="application/vnd.openxmlformats-officedocument.spreadsheetml.revisionLog+xml"/>
  <Override PartName="/xl/revisions/revisionLog156.xml" ContentType="application/vnd.openxmlformats-officedocument.spreadsheetml.revisionLog+xml"/>
  <Override PartName="/xl/revisions/revisionLog307.xml" ContentType="application/vnd.openxmlformats-officedocument.spreadsheetml.revisionLog+xml"/>
  <Override PartName="/xl/revisions/revisionLog328.xml" ContentType="application/vnd.openxmlformats-officedocument.spreadsheetml.revisionLog+xml"/>
  <Override PartName="/xl/revisions/revisionLog137.xml" ContentType="application/vnd.openxmlformats-officedocument.spreadsheetml.revisionLog+xml"/>
  <Override PartName="/xl/revisions/revisionLog151.xml" ContentType="application/vnd.openxmlformats-officedocument.spreadsheetml.revisionLog+xml"/>
  <Override PartName="/xl/revisions/revisionLog167.xml" ContentType="application/vnd.openxmlformats-officedocument.spreadsheetml.revisionLog+xml"/>
  <Override PartName="/xl/revisions/revisionLog172.xml" ContentType="application/vnd.openxmlformats-officedocument.spreadsheetml.revisionLog+xml"/>
  <Override PartName="/xl/revisions/revisionLog188.xml" ContentType="application/vnd.openxmlformats-officedocument.spreadsheetml.revisionLog+xml"/>
  <Override PartName="/xl/revisions/revisionLog193.xml" ContentType="application/vnd.openxmlformats-officedocument.spreadsheetml.revisionLog+xml"/>
  <Override PartName="/xl/revisions/revisionLog214.xml" ContentType="application/vnd.openxmlformats-officedocument.spreadsheetml.revisionLog+xml"/>
  <Override PartName="/xl/revisions/revisionLog235.xml" ContentType="application/vnd.openxmlformats-officedocument.spreadsheetml.revisionLog+xml"/>
  <Override PartName="/xl/revisions/revisionLog2.xml" ContentType="application/vnd.openxmlformats-officedocument.spreadsheetml.revisionLog+xml"/>
  <Override PartName="/xl/revisions/revisionLog53.xml" ContentType="application/vnd.openxmlformats-officedocument.spreadsheetml.revisionLog+xml"/>
  <Override PartName="/xl/revisions/revisionLog74.xml" ContentType="application/vnd.openxmlformats-officedocument.spreadsheetml.revisionLog+xml"/>
  <Override PartName="/xl/revisions/revisionLog209.xml" ContentType="application/vnd.openxmlformats-officedocument.spreadsheetml.revisionLog+xml"/>
  <Override PartName="/xl/revisions/revisionLog230.xml" ContentType="application/vnd.openxmlformats-officedocument.spreadsheetml.revisionLog+xml"/>
  <Override PartName="/xl/revisions/revisionLog260.xml" ContentType="application/vnd.openxmlformats-officedocument.spreadsheetml.revisionLog+xml"/>
  <Override PartName="/xl/revisions/revisionLog265.xml" ContentType="application/vnd.openxmlformats-officedocument.spreadsheetml.revisionLog+xml"/>
  <Override PartName="/xl/revisions/revisionLog286.xml" ContentType="application/vnd.openxmlformats-officedocument.spreadsheetml.revisionLog+xml"/>
  <Override PartName="/xl/revisions/revisionLog20.xml" ContentType="application/vnd.openxmlformats-officedocument.spreadsheetml.revisionLog+xml"/>
  <Override PartName="/xl/revisions/revisionLog25.xml" ContentType="application/vnd.openxmlformats-officedocument.spreadsheetml.revisionLog+xml"/>
  <Override PartName="/xl/revisions/revisionLog41.xml" ContentType="application/vnd.openxmlformats-officedocument.spreadsheetml.revisionLog+xml"/>
  <Override PartName="/xl/revisions/revisionLog46.xml" ContentType="application/vnd.openxmlformats-officedocument.spreadsheetml.revisionLog+xml"/>
  <Override PartName="/xl/revisions/revisionLog48.xml" ContentType="application/vnd.openxmlformats-officedocument.spreadsheetml.revisionLog+xml"/>
  <Override PartName="/xl/revisions/revisionLog69.xml" ContentType="application/vnd.openxmlformats-officedocument.spreadsheetml.revisionLog+xml"/>
  <Override PartName="/xl/revisions/revisionLog90.xml" ContentType="application/vnd.openxmlformats-officedocument.spreadsheetml.revisionLog+xml"/>
  <Override PartName="/xl/revisions/revisionLog95.xml" ContentType="application/vnd.openxmlformats-officedocument.spreadsheetml.revisionLog+xml"/>
  <Override PartName="/xl/revisions/revisionLog111.xml" ContentType="application/vnd.openxmlformats-officedocument.spreadsheetml.revisionLog+xml"/>
  <Override PartName="/xl/revisions/revisionLog116.xml" ContentType="application/vnd.openxmlformats-officedocument.spreadsheetml.revisionLog+xml"/>
  <Override PartName="/xl/revisions/revisionLog132.xml" ContentType="application/vnd.openxmlformats-officedocument.spreadsheetml.revisionLog+xml"/>
  <Override PartName="/xl/revisions/revisionLog281.xml" ContentType="application/vnd.openxmlformats-officedocument.spreadsheetml.revisionLog+xml"/>
  <Override PartName="/xl/revisions/revisionLog297.xml" ContentType="application/vnd.openxmlformats-officedocument.spreadsheetml.revisionLog+xml"/>
  <Override PartName="/xl/revisions/revisionLog302.xml" ContentType="application/vnd.openxmlformats-officedocument.spreadsheetml.revisionLog+xml"/>
  <Override PartName="/xl/revisions/revisionLog318.xml" ContentType="application/vnd.openxmlformats-officedocument.spreadsheetml.revisionLog+xml"/>
  <Override PartName="/xl/revisions/revisionLog323.xml" ContentType="application/vnd.openxmlformats-officedocument.spreadsheetml.revisionLog+xml"/>
  <Override PartName="/xl/revisions/revisionLog344.xml" ContentType="application/vnd.openxmlformats-officedocument.spreadsheetml.revisionLog+xml"/>
  <Override PartName="/xl/revisions/revisionLog353.xml" ContentType="application/vnd.openxmlformats-officedocument.spreadsheetml.revisionLog+xml"/>
  <Override PartName="/xl/revisions/revisionLog127.xml" ContentType="application/vnd.openxmlformats-officedocument.spreadsheetml.revisionLog+xml"/>
  <Override PartName="/xl/revisions/revisionLog157.xml" ContentType="application/vnd.openxmlformats-officedocument.spreadsheetml.revisionLog+xml"/>
  <Override PartName="/xl/revisions/revisionLog162.xml" ContentType="application/vnd.openxmlformats-officedocument.spreadsheetml.revisionLog+xml"/>
  <Override PartName="/xl/revisions/revisionLog183.xml" ContentType="application/vnd.openxmlformats-officedocument.spreadsheetml.revisionLog+xml"/>
  <Override PartName="/xl/revisions/revisionLog204.xml" ContentType="application/vnd.openxmlformats-officedocument.spreadsheetml.revisionLog+xml"/>
  <Override PartName="/xl/revisions/revisionLog225.xml" ContentType="application/vnd.openxmlformats-officedocument.spreadsheetml.revisionLog+xml"/>
  <Override PartName="/xl/revisions/revisionLog339.xml" ContentType="application/vnd.openxmlformats-officedocument.spreadsheetml.revisionLog+xml"/>
  <Override PartName="/xl/revisions/revisionLog348.xml" ContentType="application/vnd.openxmlformats-officedocument.spreadsheetml.revisionLog+xml"/>
  <Override PartName="/xl/revisions/revisionLog178.xml" ContentType="application/vnd.openxmlformats-officedocument.spreadsheetml.revisionLog+xml"/>
  <Override PartName="/xl/revisions/revisionLog199.xml" ContentType="application/vnd.openxmlformats-officedocument.spreadsheetml.revisionLog+xml"/>
  <Override PartName="/xl/revisions/revisionLog220.xml" ContentType="application/vnd.openxmlformats-officedocument.spreadsheetml.revisionLog+xml"/>
  <Override PartName="/xl/revisions/revisionLog241.xml" ContentType="application/vnd.openxmlformats-officedocument.spreadsheetml.revisionLog+xml"/>
  <Override PartName="/xl/revisions/revisionLog255.xml" ContentType="application/vnd.openxmlformats-officedocument.spreadsheetml.revisionLog+xml"/>
  <Override PartName="/xl/revisions/revisionLog276.xml" ContentType="application/vnd.openxmlformats-officedocument.spreadsheetml.revisionLog+xml"/>
  <Override PartName="/xl/revisions/revisionLog13.xml" ContentType="application/vnd.openxmlformats-officedocument.spreadsheetml.revisionLog+xml"/>
  <Override PartName="/xl/revisions/revisionLog36.xml" ContentType="application/vnd.openxmlformats-officedocument.spreadsheetml.revisionLog+xml"/>
  <Override PartName="/xl/revisions/revisionLog59.xml" ContentType="application/vnd.openxmlformats-officedocument.spreadsheetml.revisionLog+xml"/>
  <Override PartName="/xl/revisions/revisionLog80.xml" ContentType="application/vnd.openxmlformats-officedocument.spreadsheetml.revisionLog+xml"/>
  <Override PartName="/xl/revisions/revisionLog101.xml" ContentType="application/vnd.openxmlformats-officedocument.spreadsheetml.revisionLog+xml"/>
  <Override PartName="/xl/revisions/revisionLog122.xml" ContentType="application/vnd.openxmlformats-officedocument.spreadsheetml.revisionLog+xml"/>
  <Override PartName="/xl/revisions/revisionLog287.xml" ContentType="application/vnd.openxmlformats-officedocument.spreadsheetml.revisionLog+xml"/>
  <Override PartName="/xl/revisions/revisionLog308.xml" ContentType="application/vnd.openxmlformats-officedocument.spreadsheetml.revisionLog+xml"/>
  <Override PartName="/xl/revisions/revisionLog143.xml" ContentType="application/vnd.openxmlformats-officedocument.spreadsheetml.revisionLog+xml"/>
  <Override PartName="/xl/revisions/revisionLog147.xml" ContentType="application/vnd.openxmlformats-officedocument.spreadsheetml.revisionLog+xml"/>
  <Override PartName="/xl/revisions/revisionLog329.xml" ContentType="application/vnd.openxmlformats-officedocument.spreadsheetml.revisionLog+xml"/>
  <Override PartName="/xl/revisions/revisionLog168.xml" ContentType="application/vnd.openxmlformats-officedocument.spreadsheetml.revisionLog+xml"/>
  <Override PartName="/xl/revisions/revisionLog189.xml" ContentType="application/vnd.openxmlformats-officedocument.spreadsheetml.revisionLog+xml"/>
  <Override PartName="/xl/revisions/revisionLog210.xml" ContentType="application/vnd.openxmlformats-officedocument.spreadsheetml.revisionLog+xml"/>
  <Override PartName="/xl/revisions/revisionLog231.xml" ContentType="application/vnd.openxmlformats-officedocument.spreadsheetml.revisionLog+xml"/>
  <Override PartName="/xl/revisions/revisionLog266.xml" ContentType="application/vnd.openxmlformats-officedocument.spreadsheetml.revisionLog+xml"/>
  <Override PartName="/xl/revisions/revisionLog3.xml" ContentType="application/vnd.openxmlformats-officedocument.spreadsheetml.revisionLog+xml"/>
  <Override PartName="/xl/revisions/revisionLog26.xml" ContentType="application/vnd.openxmlformats-officedocument.spreadsheetml.revisionLog+xml"/>
  <Override PartName="/xl/revisions/revisionLog49.xml" ContentType="application/vnd.openxmlformats-officedocument.spreadsheetml.revisionLog+xml"/>
  <Override PartName="/xl/revisions/revisionLog70.xml" ContentType="application/vnd.openxmlformats-officedocument.spreadsheetml.revisionLog+xml"/>
  <Override PartName="/xl/revisions/revisionLog91.xml" ContentType="application/vnd.openxmlformats-officedocument.spreadsheetml.revisionLog+xml"/>
  <Override PartName="/xl/revisions/revisionLog277.xml" ContentType="application/vnd.openxmlformats-officedocument.spreadsheetml.revisionLog+xml"/>
  <Override PartName="/xl/revisions/revisionLog37.xml" ContentType="application/vnd.openxmlformats-officedocument.spreadsheetml.revisionLog+xml"/>
  <Override PartName="/xl/revisions/revisionLog112.xml" ContentType="application/vnd.openxmlformats-officedocument.spreadsheetml.revisionLog+xml"/>
  <Override PartName="/xl/revisions/revisionLog133.xml" ContentType="application/vnd.openxmlformats-officedocument.spreadsheetml.revisionLog+xml"/>
  <Override PartName="/xl/revisions/revisionLog298.xml" ContentType="application/vnd.openxmlformats-officedocument.spreadsheetml.revisionLog+xml"/>
  <Override PartName="/xl/revisions/revisionLog319.xml" ContentType="application/vnd.openxmlformats-officedocument.spreadsheetml.revisionLog+xml"/>
  <Override PartName="/xl/revisions/revisionLog340.xml" ContentType="application/vnd.openxmlformats-officedocument.spreadsheetml.revisionLog+xml"/>
  <Override PartName="/xl/revisions/revisionLog354.xml" ContentType="application/vnd.openxmlformats-officedocument.spreadsheetml.revisionLog+xml"/>
  <Override PartName="/xl/revisions/revisionLog158.xml" ContentType="application/vnd.openxmlformats-officedocument.spreadsheetml.revisionLog+xml"/>
  <Override PartName="/xl/revisions/revisionLog179.xml" ContentType="application/vnd.openxmlformats-officedocument.spreadsheetml.revisionLog+xml"/>
  <Override PartName="/xl/revisions/revisionLog200.xml" ContentType="application/vnd.openxmlformats-officedocument.spreadsheetml.revisionLog+xml"/>
  <Override PartName="/xl/revisions/revisionLog221.xml" ContentType="application/vnd.openxmlformats-officedocument.spreadsheetml.revisionLog+xml"/>
  <Override PartName="/xl/revisions/revisionLog242.xml" ContentType="application/vnd.openxmlformats-officedocument.spreadsheetml.revisionLog+xml"/>
  <Override PartName="/xl/revisions/revisionLog256.xml" ContentType="application/vnd.openxmlformats-officedocument.spreadsheetml.revisionLog+xml"/>
  <Override PartName="/xl/revisions/revisionLog14.xml" ContentType="application/vnd.openxmlformats-officedocument.spreadsheetml.revisionLog+xml"/>
  <Override PartName="/xl/revisions/revisionLog60.xml" ContentType="application/vnd.openxmlformats-officedocument.spreadsheetml.revisionLog+xml"/>
  <Override PartName="/xl/revisions/revisionLog81.xml" ContentType="application/vnd.openxmlformats-officedocument.spreadsheetml.revisionLog+xml"/>
  <Override PartName="/xl/revisions/revisionLog267.xml" ContentType="application/vnd.openxmlformats-officedocument.spreadsheetml.revisionLog+xml"/>
  <Override PartName="/xl/revisions/revisionLog27.xml" ContentType="application/vnd.openxmlformats-officedocument.spreadsheetml.revisionLog+xml"/>
  <Override PartName="/xl/revisions/revisionLog102.xml" ContentType="application/vnd.openxmlformats-officedocument.spreadsheetml.revisionLog+xml"/>
  <Override PartName="/xl/revisions/revisionLog123.xml" ContentType="application/vnd.openxmlformats-officedocument.spreadsheetml.revisionLog+xml"/>
  <Override PartName="/xl/revisions/revisionLog144.xml" ContentType="application/vnd.openxmlformats-officedocument.spreadsheetml.revisionLog+xml"/>
  <Override PartName="/xl/revisions/revisionLog288.xml" ContentType="application/vnd.openxmlformats-officedocument.spreadsheetml.revisionLog+xml"/>
  <Override PartName="/xl/revisions/revisionLog309.xml" ContentType="application/vnd.openxmlformats-officedocument.spreadsheetml.revisionLog+xml"/>
  <Override PartName="/xl/revisions/revisionLog330.xml" ContentType="application/vnd.openxmlformats-officedocument.spreadsheetml.revisionLog+xml"/>
  <Override PartName="/xl/revisions/revisionLog148.xml" ContentType="application/vnd.openxmlformats-officedocument.spreadsheetml.revisionLog+xml"/>
  <Override PartName="/xl/revisions/revisionLog169.xml" ContentType="application/vnd.openxmlformats-officedocument.spreadsheetml.revisionLog+xml"/>
  <Override PartName="/xl/revisions/revisionLog190.xml" ContentType="application/vnd.openxmlformats-officedocument.spreadsheetml.revisionLog+xml"/>
  <Override PartName="/xl/revisions/revisionLog211.xml" ContentType="application/vnd.openxmlformats-officedocument.spreadsheetml.revisionLog+xml"/>
  <Override PartName="/xl/revisions/revisionLog232.xml" ContentType="application/vnd.openxmlformats-officedocument.spreadsheetml.revisionLog+xml"/>
  <Override PartName="/xl/revisions/revisionLog4.xml" ContentType="application/vnd.openxmlformats-officedocument.spreadsheetml.revisionLog+xml"/>
  <Override PartName="/xl/revisions/revisionLog50.xml" ContentType="application/vnd.openxmlformats-officedocument.spreadsheetml.revisionLog+xml"/>
  <Override PartName="/xl/revisions/revisionLog71.xml" ContentType="application/vnd.openxmlformats-officedocument.spreadsheetml.revisionLog+xml"/>
  <Override PartName="/xl/revisions/revisionLog257.xml" ContentType="application/vnd.openxmlformats-officedocument.spreadsheetml.revisionLog+xml"/>
  <Override PartName="/xl/revisions/revisionLog15.xml" ContentType="application/vnd.openxmlformats-officedocument.spreadsheetml.revisionLog+xml"/>
  <Override PartName="/xl/revisions/revisionLog38.xml" ContentType="application/vnd.openxmlformats-officedocument.spreadsheetml.revisionLog+xml"/>
  <Override PartName="/xl/revisions/revisionLog92.xml" ContentType="application/vnd.openxmlformats-officedocument.spreadsheetml.revisionLog+xml"/>
  <Override PartName="/xl/revisions/revisionLog113.xml" ContentType="application/vnd.openxmlformats-officedocument.spreadsheetml.revisionLog+xml"/>
  <Override PartName="/xl/revisions/revisionLog134.xml" ContentType="application/vnd.openxmlformats-officedocument.spreadsheetml.revisionLog+xml"/>
  <Override PartName="/xl/revisions/revisionLog278.xml" ContentType="application/vnd.openxmlformats-officedocument.spreadsheetml.revisionLog+xml"/>
  <Override PartName="/xl/revisions/revisionLog299.xml" ContentType="application/vnd.openxmlformats-officedocument.spreadsheetml.revisionLog+xml"/>
  <Override PartName="/xl/revisions/revisionLog320.xml" ContentType="application/vnd.openxmlformats-officedocument.spreadsheetml.revisionLog+xml"/>
  <Override PartName="/xl/revisions/revisionLog341.xml" ContentType="application/vnd.openxmlformats-officedocument.spreadsheetml.revisionLog+xml"/>
  <Override PartName="/xl/revisions/revisionLog355.xml" ContentType="application/vnd.openxmlformats-officedocument.spreadsheetml.revisionLog+xml"/>
  <Override PartName="/xl/revisions/revisionLog159.xml" ContentType="application/vnd.openxmlformats-officedocument.spreadsheetml.revisionLog+xml"/>
  <Override PartName="/xl/revisions/revisionLog180.xml" ContentType="application/vnd.openxmlformats-officedocument.spreadsheetml.revisionLog+xml"/>
  <Override PartName="/xl/revisions/revisionLog201.xml" ContentType="application/vnd.openxmlformats-officedocument.spreadsheetml.revisionLog+xml"/>
  <Override PartName="/xl/revisions/revisionLog61.xml" ContentType="application/vnd.openxmlformats-officedocument.spreadsheetml.revisionLog+xml"/>
  <Override PartName="/xl/revisions/revisionLog222.xml" ContentType="application/vnd.openxmlformats-officedocument.spreadsheetml.revisionLog+xml"/>
  <Override PartName="/xl/revisions/revisionLog243.xml" ContentType="application/vnd.openxmlformats-officedocument.spreadsheetml.revisionLog+xml"/>
  <Override PartName="/xl/revisions/revisionLog247.xml" ContentType="application/vnd.openxmlformats-officedocument.spreadsheetml.revisionLog+xml"/>
  <Override PartName="/xl/revisions/revisionLog5.xml" ContentType="application/vnd.openxmlformats-officedocument.spreadsheetml.revisionLog+xml"/>
  <Override PartName="/xl/revisions/revisionLog28.xml" ContentType="application/vnd.openxmlformats-officedocument.spreadsheetml.revisionLog+xml"/>
  <Override PartName="/xl/revisions/revisionLog82.xml" ContentType="application/vnd.openxmlformats-officedocument.spreadsheetml.revisionLog+xml"/>
  <Override PartName="/xl/revisions/revisionLog103.xml" ContentType="application/vnd.openxmlformats-officedocument.spreadsheetml.revisionLog+xml"/>
  <Override PartName="/xl/revisions/revisionLog124.xml" ContentType="application/vnd.openxmlformats-officedocument.spreadsheetml.revisionLog+xml"/>
  <Override PartName="/xl/revisions/revisionLog145.xml" ContentType="application/vnd.openxmlformats-officedocument.spreadsheetml.revisionLog+xml"/>
  <Override PartName="/xl/revisions/revisionLog268.xml" ContentType="application/vnd.openxmlformats-officedocument.spreadsheetml.revisionLog+xml"/>
  <Override PartName="/xl/revisions/revisionLog289.xml" ContentType="application/vnd.openxmlformats-officedocument.spreadsheetml.revisionLog+xml"/>
  <Override PartName="/xl/revisions/revisionLog310.xml" ContentType="application/vnd.openxmlformats-officedocument.spreadsheetml.revisionLog+xml"/>
  <Override PartName="/xl/revisions/revisionLog331.xml" ContentType="application/vnd.openxmlformats-officedocument.spreadsheetml.revisionLog+xml"/>
  <Override PartName="/xl/revisions/revisionLog149.xml" ContentType="application/vnd.openxmlformats-officedocument.spreadsheetml.revisionLog+xml"/>
  <Override PartName="/xl/revisions/revisionLog170.xml" ContentType="application/vnd.openxmlformats-officedocument.spreadsheetml.revisionLog+xml"/>
  <Override PartName="/xl/revisions/revisionLog191.xml" ContentType="application/vnd.openxmlformats-officedocument.spreadsheetml.revisionLog+xml"/>
  <Override PartName="/xl/revisions/revisionLog212.xml" ContentType="application/vnd.openxmlformats-officedocument.spreadsheetml.revisionLog+xml"/>
  <Override PartName="/xl/revisions/revisionLog233.xml" ContentType="application/vnd.openxmlformats-officedocument.spreadsheetml.revisionLog+xml"/>
  <Override PartName="/xl/revisions/revisionLog51.xml" ContentType="application/vnd.openxmlformats-officedocument.spreadsheetml.revisionLog+xml"/>
  <Override PartName="/xl/revisions/revisionLog72.xml" ContentType="application/vnd.openxmlformats-officedocument.spreadsheetml.revisionLog+xml"/>
  <Override PartName="/xl/revisions/revisionLog93.xml" ContentType="application/vnd.openxmlformats-officedocument.spreadsheetml.revisionLog+xml"/>
  <Override PartName="/xl/revisions/revisionLog114.xml" ContentType="application/vnd.openxmlformats-officedocument.spreadsheetml.revisionLog+xml"/>
  <Override PartName="/xl/revisions/revisionLog135.xml" ContentType="application/vnd.openxmlformats-officedocument.spreadsheetml.revisionLog+xml"/>
  <Override PartName="/xl/revisions/revisionLog258.xml" ContentType="application/vnd.openxmlformats-officedocument.spreadsheetml.revisionLog+xml"/>
  <Override PartName="/xl/revisions/revisionLog279.xml" ContentType="application/vnd.openxmlformats-officedocument.spreadsheetml.revisionLog+xml"/>
  <Override PartName="/xl/revisions/revisionLog300.xml" ContentType="application/vnd.openxmlformats-officedocument.spreadsheetml.revisionLog+xml"/>
  <Override PartName="/xl/revisions/revisionLog321.xml" ContentType="application/vnd.openxmlformats-officedocument.spreadsheetml.revisionLog+xml"/>
  <Override PartName="/xl/revisions/revisionLog342.xml" ContentType="application/vnd.openxmlformats-officedocument.spreadsheetml.revisionLog+xml"/>
  <Override PartName="/xl/revisions/revisionLog356.xml" ContentType="application/vnd.openxmlformats-officedocument.spreadsheetml.revisionLog+xml"/>
  <Override PartName="/xl/revisions/revisionLog16.xml" ContentType="application/vnd.openxmlformats-officedocument.spreadsheetml.revisionLog+xml"/>
  <Override PartName="/xl/revisions/revisionLog39.xml" ContentType="application/vnd.openxmlformats-officedocument.spreadsheetml.revisionLog+xml"/>
  <Override PartName="/xl/revisions/revisionLog160.xml" ContentType="application/vnd.openxmlformats-officedocument.spreadsheetml.revisionLog+xml"/>
  <Override PartName="/xl/revisions/revisionLog181.xml" ContentType="application/vnd.openxmlformats-officedocument.spreadsheetml.revisionLog+xml"/>
  <Override PartName="/xl/revisions/revisionLog202.xml" ContentType="application/vnd.openxmlformats-officedocument.spreadsheetml.revisionLog+xml"/>
  <Override PartName="/xl/revisions/revisionLog223.xml" ContentType="application/vnd.openxmlformats-officedocument.spreadsheetml.revisionLog+xml"/>
  <Override PartName="/xl/revisions/revisionLog244.xml" ContentType="application/vnd.openxmlformats-officedocument.spreadsheetml.revisionLog+xml"/>
  <Override PartName="/xl/revisions/revisionLog62.xml" ContentType="application/vnd.openxmlformats-officedocument.spreadsheetml.revisionLog+xml"/>
  <Override PartName="/xl/revisions/revisionLog83.xml" ContentType="application/vnd.openxmlformats-officedocument.spreadsheetml.revisionLog+xml"/>
  <Override PartName="/xl/revisions/revisionLog104.xml" ContentType="application/vnd.openxmlformats-officedocument.spreadsheetml.revisionLog+xml"/>
  <Override PartName="/xl/revisions/revisionLog125.xml" ContentType="application/vnd.openxmlformats-officedocument.spreadsheetml.revisionLog+xml"/>
  <Override PartName="/xl/revisions/revisionLog248.xml" ContentType="application/vnd.openxmlformats-officedocument.spreadsheetml.revisionLog+xml"/>
  <Override PartName="/xl/revisions/revisionLog269.xml" ContentType="application/vnd.openxmlformats-officedocument.spreadsheetml.revisionLog+xml"/>
  <Override PartName="/xl/revisions/revisionLog290.xml" ContentType="application/vnd.openxmlformats-officedocument.spreadsheetml.revisionLog+xml"/>
  <Override PartName="/xl/revisions/revisionLog311.xml" ContentType="application/vnd.openxmlformats-officedocument.spreadsheetml.revisionLog+xml"/>
  <Override PartName="/xl/revisions/revisionLog6.xml" ContentType="application/vnd.openxmlformats-officedocument.spreadsheetml.revisionLog+xml"/>
  <Override PartName="/xl/revisions/revisionLog29.xml" ContentType="application/vnd.openxmlformats-officedocument.spreadsheetml.revisionLog+xml"/>
  <Override PartName="/xl/revisions/revisionLog146.xml" ContentType="application/vnd.openxmlformats-officedocument.spreadsheetml.revisionLog+xml"/>
  <Override PartName="/xl/revisions/revisionLog150.xml" ContentType="application/vnd.openxmlformats-officedocument.spreadsheetml.revisionLog+xml"/>
  <Override PartName="/xl/revisions/revisionLog332.xml" ContentType="application/vnd.openxmlformats-officedocument.spreadsheetml.revisionLog+xml"/>
  <Override PartName="/xl/revisions/revisionLog171.xml" ContentType="application/vnd.openxmlformats-officedocument.spreadsheetml.revisionLog+xml"/>
  <Override PartName="/xl/revisions/revisionLog192.xml" ContentType="application/vnd.openxmlformats-officedocument.spreadsheetml.revisionLog+xml"/>
  <Override PartName="/xl/revisions/revisionLog213.xml" ContentType="application/vnd.openxmlformats-officedocument.spreadsheetml.revisionLog+xml"/>
  <Override PartName="/xl/revisions/revisionLog234.xml" ContentType="application/vnd.openxmlformats-officedocument.spreadsheetml.revisionLog+xml"/>
  <Override PartName="/xl/revisions/revisionLog357.xml" ContentType="application/vnd.openxmlformats-officedocument.spreadsheetml.revisionLog+xml"/>
  <Override PartName="/xl/revisions/revisionLog52.xml" ContentType="application/vnd.openxmlformats-officedocument.spreadsheetml.revisionLog+xml"/>
  <Override PartName="/xl/revisions/revisionLog73.xml" ContentType="application/vnd.openxmlformats-officedocument.spreadsheetml.revisionLog+xml"/>
  <Override PartName="/xl/revisions/revisionLog94.xml" ContentType="application/vnd.openxmlformats-officedocument.spreadsheetml.revisionLog+xml"/>
  <Override PartName="/xl/revisions/revisionLog115.xml" ContentType="application/vnd.openxmlformats-officedocument.spreadsheetml.revisionLog+xml"/>
  <Override PartName="/xl/revisions/revisionLog259.xml" ContentType="application/vnd.openxmlformats-officedocument.spreadsheetml.revisionLog+xml"/>
  <Override PartName="/xl/revisions/revisionLog280.xml" ContentType="application/vnd.openxmlformats-officedocument.spreadsheetml.revisionLog+xml"/>
  <Override PartName="/xl/revisions/revisionLog301.xml" ContentType="application/vnd.openxmlformats-officedocument.spreadsheetml.revisionLog+xml"/>
  <Override PartName="/xl/revisions/revisionLog19.xml" ContentType="application/vnd.openxmlformats-officedocument.spreadsheetml.revisionLog+xml"/>
  <Override PartName="/xl/revisions/revisionLog40.xml" ContentType="application/vnd.openxmlformats-officedocument.spreadsheetml.revisionLog+xml"/>
  <Override PartName="/xl/revisions/revisionLog136.xml" ContentType="application/vnd.openxmlformats-officedocument.spreadsheetml.revisionLog+xml"/>
  <Override PartName="/xl/revisions/revisionLog322.xml" ContentType="application/vnd.openxmlformats-officedocument.spreadsheetml.revisionLog+xml"/>
  <Override PartName="/xl/revisions/revisionLog343.xml" ContentType="application/vnd.openxmlformats-officedocument.spreadsheetml.revisionLog+xml"/>
  <Override PartName="/xl/revisions/revisionLog161.xml" ContentType="application/vnd.openxmlformats-officedocument.spreadsheetml.revisionLog+xml"/>
  <Override PartName="/xl/revisions/revisionLog182.xml" ContentType="application/vnd.openxmlformats-officedocument.spreadsheetml.revisionLog+xml"/>
  <Override PartName="/xl/revisions/revisionLog203.xml" ContentType="application/vnd.openxmlformats-officedocument.spreadsheetml.revisionLog+xml"/>
  <Override PartName="/xl/revisions/revisionLog224.xml" ContentType="application/vnd.openxmlformats-officedocument.spreadsheetml.revisionLog+xml"/>
  <Override PartName="/xl/revisions/revisionLog245.xml" ContentType="application/vnd.openxmlformats-officedocument.spreadsheetml.revisionLog+xml"/>
  <Override PartName="/xl/revisions/revisionLog347.xml" ContentType="application/vnd.openxmlformats-officedocument.spreadsheetml.revisionLog+xml"/>
  <Override PartName="/xl/revisions/revisionLog63.xml" ContentType="application/vnd.openxmlformats-officedocument.spreadsheetml.revisionLog+xml"/>
  <Override PartName="/xl/revisions/revisionLog84.xml" ContentType="application/vnd.openxmlformats-officedocument.spreadsheetml.revisionLog+xml"/>
  <Override PartName="/xl/revisions/revisionLog105.xml" ContentType="application/vnd.openxmlformats-officedocument.spreadsheetml.revisionLog+xml"/>
  <Override PartName="/xl/revisions/revisionLog249.xml" ContentType="application/vnd.openxmlformats-officedocument.spreadsheetml.revisionLog+xml"/>
  <Override PartName="/xl/revisions/revisionLog270.xml" ContentType="application/vnd.openxmlformats-officedocument.spreadsheetml.revisionLog+xml"/>
  <Override PartName="/xl/revisions/revisionLog291.xml" ContentType="application/vnd.openxmlformats-officedocument.spreadsheetml.revisionLog+xml"/>
  <Override PartName="/xl/revisions/revisionLog7.xml" ContentType="application/vnd.openxmlformats-officedocument.spreadsheetml.revisionLog+xml"/>
  <Override PartName="/xl/revisions/revisionLog30.xml" ContentType="application/vnd.openxmlformats-officedocument.spreadsheetml.revisionLog+xml"/>
  <Override PartName="/xl/revisions/revisionLog126.xml" ContentType="application/vnd.openxmlformats-officedocument.spreadsheetml.revisionLog+xml"/>
  <Override PartName="/xl/revisions/revisionLog312.xml" ContentType="application/vnd.openxmlformats-officedocument.spreadsheetml.revisionLog+xml"/>
  <Override PartName="/xl/revisions/revisionLog333.xml" ContentType="application/vnd.openxmlformats-officedocument.spreadsheetml.revisionLo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DieseArbeitsmappe" defaultThemeVersion="153222"/>
  <mc:AlternateContent xmlns:mc="http://schemas.openxmlformats.org/markup-compatibility/2006">
    <mc:Choice Requires="x15">
      <x15ac:absPath xmlns:x15ac="http://schemas.microsoft.com/office/spreadsheetml/2010/11/ac" url="C:\Users\marcel\Documents\"/>
    </mc:Choice>
  </mc:AlternateContent>
  <bookViews>
    <workbookView xWindow="0" yWindow="0" windowWidth="19260" windowHeight="10680"/>
  </bookViews>
  <sheets>
    <sheet name="Tabelle1" sheetId="1" r:id="rId1"/>
  </sheets>
  <calcPr calcId="152511"/>
  <customWorkbookViews>
    <customWorkbookView name="Marcel Riesenbeck - Persönliche Ansicht" guid="{BCD8CDF1-28A7-48ED-B459-CC2754282EBB}" autoUpdate="1" mergeInterval="155" onlySync="1" personalView="1" xWindow="-1914" yWindow="346" windowWidth="1876" windowHeight="1050" activeSheetId="1" showComments="commIndAndComment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08" i="1" l="1"/>
  <c r="C106" i="1"/>
  <c r="C107" i="1"/>
  <c r="C42" i="1"/>
  <c r="C43" i="1"/>
  <c r="C44" i="1"/>
  <c r="C45" i="1"/>
  <c r="C46" i="1"/>
  <c r="C47" i="1"/>
  <c r="C48" i="1"/>
  <c r="C49" i="1"/>
  <c r="C135" i="1" l="1"/>
  <c r="D135" i="1" s="1"/>
  <c r="C136" i="1"/>
  <c r="D136" i="1" s="1"/>
  <c r="C137" i="1"/>
  <c r="D137" i="1"/>
  <c r="C97" i="1"/>
  <c r="D97" i="1" s="1"/>
  <c r="C98" i="1"/>
  <c r="D98" i="1"/>
  <c r="C99" i="1"/>
  <c r="D99" i="1"/>
  <c r="C100" i="1"/>
  <c r="D100" i="1" s="1"/>
  <c r="C101" i="1"/>
  <c r="D101" i="1"/>
  <c r="C102" i="1"/>
  <c r="D102" i="1"/>
  <c r="C103" i="1"/>
  <c r="D103" i="1" s="1"/>
  <c r="C104" i="1"/>
  <c r="D104" i="1" s="1"/>
  <c r="C105" i="1"/>
  <c r="D105" i="1" s="1"/>
  <c r="C108" i="1"/>
  <c r="D106" i="1"/>
  <c r="D107" i="1"/>
  <c r="C109" i="1"/>
  <c r="D109" i="1" s="1"/>
  <c r="C110" i="1"/>
  <c r="D110" i="1" s="1"/>
  <c r="C111" i="1"/>
  <c r="D111" i="1"/>
  <c r="C112" i="1"/>
  <c r="D112" i="1" s="1"/>
  <c r="C113" i="1"/>
  <c r="D113" i="1" s="1"/>
  <c r="C114" i="1"/>
  <c r="D114" i="1" s="1"/>
  <c r="C115" i="1"/>
  <c r="D115" i="1" s="1"/>
  <c r="C116" i="1"/>
  <c r="D116" i="1"/>
  <c r="C117" i="1"/>
  <c r="D117" i="1" s="1"/>
  <c r="C118" i="1"/>
  <c r="D118" i="1"/>
  <c r="C119" i="1"/>
  <c r="D119" i="1"/>
  <c r="C120" i="1"/>
  <c r="D120" i="1" s="1"/>
  <c r="C121" i="1"/>
  <c r="D121" i="1"/>
  <c r="C122" i="1"/>
  <c r="D122" i="1" s="1"/>
  <c r="C123" i="1"/>
  <c r="D123" i="1" s="1"/>
  <c r="C124" i="1"/>
  <c r="D124" i="1" s="1"/>
  <c r="C125" i="1"/>
  <c r="D125" i="1" s="1"/>
  <c r="C126" i="1"/>
  <c r="D126" i="1"/>
  <c r="C127" i="1"/>
  <c r="D127" i="1" s="1"/>
  <c r="C128" i="1"/>
  <c r="D128" i="1" s="1"/>
  <c r="C129" i="1"/>
  <c r="D129" i="1"/>
  <c r="C130" i="1"/>
  <c r="D130" i="1"/>
  <c r="C131" i="1"/>
  <c r="D131" i="1" s="1"/>
  <c r="C132" i="1"/>
  <c r="D132" i="1"/>
  <c r="C133" i="1"/>
  <c r="D133" i="1" s="1"/>
  <c r="C134" i="1"/>
  <c r="D134" i="1"/>
  <c r="C95" i="1"/>
  <c r="C14" i="1"/>
  <c r="D14" i="1" s="1"/>
  <c r="C15" i="1"/>
  <c r="D15" i="1" s="1"/>
  <c r="C16" i="1"/>
  <c r="D16" i="1" s="1"/>
  <c r="C17" i="1"/>
  <c r="D17" i="1" s="1"/>
  <c r="C18" i="1"/>
  <c r="D18" i="1" s="1"/>
  <c r="C19" i="1"/>
  <c r="D19" i="1" s="1"/>
  <c r="C20" i="1"/>
  <c r="D20" i="1" s="1"/>
  <c r="C21" i="1"/>
  <c r="D21" i="1" s="1"/>
  <c r="C22" i="1"/>
  <c r="D22" i="1" s="1"/>
  <c r="C23" i="1"/>
  <c r="D23" i="1" s="1"/>
  <c r="C24" i="1"/>
  <c r="D24" i="1" s="1"/>
  <c r="C25" i="1"/>
  <c r="D25" i="1" s="1"/>
  <c r="C26" i="1"/>
  <c r="D26" i="1" s="1"/>
  <c r="C27" i="1"/>
  <c r="D27" i="1" s="1"/>
  <c r="C28" i="1"/>
  <c r="D28" i="1" s="1"/>
  <c r="C29" i="1"/>
  <c r="D29" i="1" s="1"/>
  <c r="C30" i="1"/>
  <c r="D30" i="1" s="1"/>
  <c r="C31" i="1"/>
  <c r="D31" i="1" s="1"/>
  <c r="C32" i="1"/>
  <c r="D32" i="1" s="1"/>
  <c r="C33" i="1"/>
  <c r="D33" i="1" s="1"/>
  <c r="C34" i="1"/>
  <c r="D34" i="1" s="1"/>
  <c r="C35" i="1"/>
  <c r="D35" i="1" s="1"/>
  <c r="C36" i="1"/>
  <c r="D36" i="1" s="1"/>
  <c r="C37" i="1"/>
  <c r="D37" i="1" s="1"/>
  <c r="C38" i="1"/>
  <c r="D38" i="1" s="1"/>
  <c r="C39" i="1"/>
  <c r="D39" i="1" s="1"/>
  <c r="C40" i="1"/>
  <c r="D40" i="1" s="1"/>
  <c r="C41" i="1"/>
  <c r="D41" i="1" s="1"/>
  <c r="D42" i="1"/>
  <c r="D43" i="1"/>
  <c r="D44" i="1"/>
  <c r="D45" i="1"/>
  <c r="D46" i="1"/>
  <c r="D47" i="1"/>
  <c r="D48" i="1"/>
  <c r="D49" i="1"/>
  <c r="C50" i="1"/>
  <c r="D50" i="1" s="1"/>
  <c r="C51" i="1"/>
  <c r="D51" i="1" s="1"/>
  <c r="C52" i="1"/>
  <c r="D52" i="1" s="1"/>
  <c r="C53" i="1"/>
  <c r="D53" i="1" s="1"/>
  <c r="C54" i="1"/>
  <c r="D54" i="1" s="1"/>
  <c r="C55" i="1"/>
  <c r="D55" i="1" s="1"/>
  <c r="C56" i="1"/>
  <c r="D56" i="1" s="1"/>
  <c r="C57" i="1"/>
  <c r="D57" i="1" s="1"/>
  <c r="C58" i="1"/>
  <c r="D58" i="1" s="1"/>
  <c r="C59" i="1"/>
  <c r="D59" i="1" s="1"/>
  <c r="C60" i="1"/>
  <c r="D60" i="1" s="1"/>
  <c r="C61" i="1"/>
  <c r="D61" i="1" s="1"/>
  <c r="C62" i="1"/>
  <c r="D62" i="1" s="1"/>
  <c r="C63" i="1"/>
  <c r="D63" i="1" s="1"/>
  <c r="C64" i="1"/>
  <c r="D64" i="1" s="1"/>
  <c r="C65" i="1"/>
  <c r="D65" i="1" s="1"/>
  <c r="C66" i="1"/>
  <c r="D66" i="1" s="1"/>
  <c r="C67" i="1"/>
  <c r="D67" i="1" s="1"/>
  <c r="C68" i="1"/>
  <c r="D68" i="1" s="1"/>
  <c r="C69" i="1"/>
  <c r="D69" i="1" s="1"/>
  <c r="C70" i="1"/>
  <c r="D70" i="1" s="1"/>
  <c r="C71" i="1"/>
  <c r="D71" i="1" s="1"/>
  <c r="C72" i="1"/>
  <c r="D72" i="1" s="1"/>
  <c r="C73" i="1"/>
  <c r="D73" i="1" s="1"/>
  <c r="C74" i="1"/>
  <c r="D74" i="1" s="1"/>
  <c r="C75" i="1"/>
  <c r="D75" i="1" s="1"/>
  <c r="C76" i="1"/>
  <c r="D76" i="1" s="1"/>
  <c r="C77" i="1"/>
  <c r="D77" i="1" s="1"/>
  <c r="C78" i="1"/>
  <c r="D78" i="1" s="1"/>
  <c r="C79" i="1"/>
  <c r="D79" i="1" s="1"/>
  <c r="C80" i="1"/>
  <c r="D80" i="1" s="1"/>
  <c r="C81" i="1"/>
  <c r="D81" i="1" s="1"/>
  <c r="C82" i="1"/>
  <c r="D82" i="1" s="1"/>
  <c r="C83" i="1"/>
  <c r="D83" i="1" s="1"/>
  <c r="C84" i="1"/>
  <c r="D84" i="1" s="1"/>
  <c r="C85" i="1"/>
  <c r="D85" i="1" s="1"/>
  <c r="C86" i="1"/>
  <c r="D86" i="1" s="1"/>
  <c r="C87" i="1"/>
  <c r="D87" i="1" s="1"/>
  <c r="C88" i="1"/>
  <c r="D88" i="1" s="1"/>
  <c r="C89" i="1"/>
  <c r="D89" i="1" s="1"/>
  <c r="C90" i="1"/>
  <c r="D90" i="1" s="1"/>
  <c r="C91" i="1"/>
  <c r="D91" i="1" s="1"/>
  <c r="C92" i="1"/>
  <c r="D92" i="1" s="1"/>
  <c r="C93" i="1"/>
  <c r="D93" i="1" s="1"/>
  <c r="C94" i="1"/>
  <c r="D94" i="1" s="1"/>
  <c r="D95" i="1"/>
  <c r="C96" i="1"/>
  <c r="D96" i="1" s="1"/>
  <c r="C4" i="1"/>
  <c r="D4" i="1" s="1"/>
  <c r="C5" i="1"/>
  <c r="D5" i="1" s="1"/>
  <c r="C6" i="1"/>
  <c r="D6" i="1" s="1"/>
  <c r="C7" i="1"/>
  <c r="D7" i="1" s="1"/>
  <c r="C8" i="1"/>
  <c r="D8" i="1" s="1"/>
  <c r="C9" i="1"/>
  <c r="D9" i="1" s="1"/>
  <c r="C10" i="1"/>
  <c r="D10" i="1" s="1"/>
  <c r="C11" i="1"/>
  <c r="D11" i="1" s="1"/>
  <c r="C12" i="1"/>
  <c r="D12" i="1" s="1"/>
  <c r="C13" i="1"/>
  <c r="D13" i="1" s="1"/>
  <c r="C3" i="1"/>
  <c r="D3" i="1" s="1"/>
</calcChain>
</file>

<file path=xl/sharedStrings.xml><?xml version="1.0" encoding="utf-8"?>
<sst xmlns="http://schemas.openxmlformats.org/spreadsheetml/2006/main" count="4" uniqueCount="4">
  <si>
    <t>Uhrzeit</t>
  </si>
  <si>
    <t>Pos p. min</t>
  </si>
  <si>
    <t>Restdauer</t>
  </si>
  <si>
    <t>Warteschlange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</si>
</sst>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#\ &quot;min&quot;"/>
    <numFmt numFmtId="165" formatCode="[$-F400]h:mm:ss\ AM/PM"/>
  </numFmts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1"/>
        <bgColor theme="1"/>
      </patternFill>
    </fill>
  </fills>
  <borders count="4">
    <border>
      <left/>
      <right/>
      <top/>
      <bottom/>
      <diagonal/>
    </border>
    <border>
      <left style="thin">
        <color theme="1"/>
      </left>
      <right/>
      <top style="medium">
        <color theme="1"/>
      </top>
      <bottom/>
      <diagonal/>
    </border>
    <border>
      <left style="thin">
        <color theme="1"/>
      </left>
      <right style="thin">
        <color theme="1"/>
      </right>
      <top style="medium">
        <color theme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0" fillId="0" borderId="3" xfId="0" applyBorder="1" applyAlignment="1">
      <alignment horizontal="center"/>
    </xf>
    <xf numFmtId="1" fontId="0" fillId="0" borderId="3" xfId="0" applyNumberFormat="1" applyFont="1" applyBorder="1" applyAlignment="1">
      <alignment horizontal="center"/>
    </xf>
    <xf numFmtId="164" fontId="0" fillId="0" borderId="3" xfId="0" applyNumberFormat="1" applyFont="1" applyBorder="1" applyAlignment="1">
      <alignment horizontal="center"/>
    </xf>
    <xf numFmtId="0" fontId="0" fillId="0" borderId="3" xfId="0" applyNumberForma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0" fillId="0" borderId="3" xfId="0" quotePrefix="1" applyBorder="1" applyAlignment="1">
      <alignment horizontal="center"/>
    </xf>
    <xf numFmtId="21" fontId="0" fillId="0" borderId="3" xfId="0" applyNumberFormat="1" applyBorder="1" applyAlignment="1">
      <alignment horizontal="center"/>
    </xf>
    <xf numFmtId="21" fontId="0" fillId="0" borderId="3" xfId="0" applyNumberFormat="1" applyBorder="1" applyAlignment="1">
      <alignment horizontal="center"/>
    </xf>
    <xf numFmtId="21" fontId="0" fillId="0" borderId="0" xfId="0" applyNumberFormat="1" applyAlignment="1">
      <alignment horizontal="center"/>
    </xf>
    <xf numFmtId="21" fontId="0" fillId="0" borderId="0" xfId="0" applyNumberFormat="1" applyAlignment="1">
      <alignment horizontal="center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usernames" Target="revisions/userNames.xml"/><Relationship Id="rId3" Type="http://schemas.openxmlformats.org/officeDocument/2006/relationships/styles" Target="styles.xml"/><Relationship Id="rId7" Type="http://schemas.openxmlformats.org/officeDocument/2006/relationships/revisionHeaders" Target="revisions/revisionHeader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Wartezeit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Wartezeit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Tabelle1!$A$2:$A$41</c:f>
              <c:numCache>
                <c:formatCode>[$-F400]h:mm:ss\ AM/PM</c:formatCode>
                <c:ptCount val="40"/>
                <c:pt idx="0">
                  <c:v>0.77589120370370368</c:v>
                </c:pt>
                <c:pt idx="1">
                  <c:v>0.7766319444444445</c:v>
                </c:pt>
                <c:pt idx="2">
                  <c:v>0.77756944444444442</c:v>
                </c:pt>
                <c:pt idx="3">
                  <c:v>0.77781250000000002</c:v>
                </c:pt>
                <c:pt idx="4">
                  <c:v>0.77806712962962965</c:v>
                </c:pt>
                <c:pt idx="5">
                  <c:v>0.77818287037037026</c:v>
                </c:pt>
                <c:pt idx="6">
                  <c:v>0.77849537037037031</c:v>
                </c:pt>
                <c:pt idx="7">
                  <c:v>0.77866898148148145</c:v>
                </c:pt>
                <c:pt idx="8">
                  <c:v>0.77892361111111119</c:v>
                </c:pt>
                <c:pt idx="9">
                  <c:v>0.7794212962962962</c:v>
                </c:pt>
                <c:pt idx="10">
                  <c:v>0.77960648148148148</c:v>
                </c:pt>
                <c:pt idx="11">
                  <c:v>0.77991898148148142</c:v>
                </c:pt>
                <c:pt idx="12">
                  <c:v>0.78004629629629629</c:v>
                </c:pt>
                <c:pt idx="13">
                  <c:v>0.78030092592592604</c:v>
                </c:pt>
                <c:pt idx="14">
                  <c:v>0.78061342592592586</c:v>
                </c:pt>
                <c:pt idx="15">
                  <c:v>0.78079861111111104</c:v>
                </c:pt>
                <c:pt idx="16">
                  <c:v>0.78098379629629633</c:v>
                </c:pt>
                <c:pt idx="17">
                  <c:v>0.78218750000000004</c:v>
                </c:pt>
                <c:pt idx="18">
                  <c:v>0.78243055555555552</c:v>
                </c:pt>
                <c:pt idx="19">
                  <c:v>0.78355324074074073</c:v>
                </c:pt>
                <c:pt idx="20">
                  <c:v>0.7840625</c:v>
                </c:pt>
                <c:pt idx="21">
                  <c:v>0.78449074074074077</c:v>
                </c:pt>
                <c:pt idx="22">
                  <c:v>0.78481481481481474</c:v>
                </c:pt>
                <c:pt idx="23">
                  <c:v>0.78494212962962961</c:v>
                </c:pt>
                <c:pt idx="24">
                  <c:v>0.78525462962962955</c:v>
                </c:pt>
                <c:pt idx="25">
                  <c:v>0.78537037037037039</c:v>
                </c:pt>
                <c:pt idx="26">
                  <c:v>0.78562500000000002</c:v>
                </c:pt>
                <c:pt idx="27">
                  <c:v>0.78587962962962965</c:v>
                </c:pt>
                <c:pt idx="28">
                  <c:v>0.78612268518518524</c:v>
                </c:pt>
                <c:pt idx="29">
                  <c:v>0.78630787037037031</c:v>
                </c:pt>
                <c:pt idx="30">
                  <c:v>0.78662037037037036</c:v>
                </c:pt>
                <c:pt idx="31">
                  <c:v>0.78674768518518512</c:v>
                </c:pt>
                <c:pt idx="32">
                  <c:v>0.78700231481481486</c:v>
                </c:pt>
                <c:pt idx="33">
                  <c:v>0.7872569444444445</c:v>
                </c:pt>
                <c:pt idx="34">
                  <c:v>0.78749999999999998</c:v>
                </c:pt>
                <c:pt idx="35">
                  <c:v>0.78775462962962972</c:v>
                </c:pt>
                <c:pt idx="36">
                  <c:v>0.78806712962962966</c:v>
                </c:pt>
                <c:pt idx="37">
                  <c:v>0.78863425925925934</c:v>
                </c:pt>
                <c:pt idx="38">
                  <c:v>0.78888888888888886</c:v>
                </c:pt>
                <c:pt idx="39">
                  <c:v>0.78932870370370367</c:v>
                </c:pt>
              </c:numCache>
            </c:numRef>
          </c:xVal>
          <c:yVal>
            <c:numRef>
              <c:f>Tabelle1!$D$2:$D$41</c:f>
              <c:numCache>
                <c:formatCode>#\ "min"</c:formatCode>
                <c:ptCount val="40"/>
                <c:pt idx="1">
                  <c:v>60.995555555562042</c:v>
                </c:pt>
                <c:pt idx="2">
                  <c:v>71.592519685033608</c:v>
                </c:pt>
                <c:pt idx="3">
                  <c:v>68.980882352951951</c:v>
                </c:pt>
                <c:pt idx="4">
                  <c:v>90.634567901235556</c:v>
                </c:pt>
                <c:pt idx="5">
                  <c:v>31.614285714250222</c:v>
                </c:pt>
                <c:pt idx="6">
                  <c:v>80.294594594607148</c:v>
                </c:pt>
                <c:pt idx="7">
                  <c:v>43.184210526322538</c:v>
                </c:pt>
                <c:pt idx="8">
                  <c:v>126.3070175439161</c:v>
                </c:pt>
                <c:pt idx="9">
                  <c:v>71.446153846127828</c:v>
                </c:pt>
                <c:pt idx="10">
                  <c:v>46.43603603606185</c:v>
                </c:pt>
                <c:pt idx="11">
                  <c:v>82.388571428555025</c:v>
                </c:pt>
                <c:pt idx="12">
                  <c:v>24.812411347528819</c:v>
                </c:pt>
                <c:pt idx="13">
                  <c:v>82.932142857179926</c:v>
                </c:pt>
                <c:pt idx="14">
                  <c:v>105.09999999994176</c:v>
                </c:pt>
                <c:pt idx="15">
                  <c:v>46.444444444442418</c:v>
                </c:pt>
                <c:pt idx="16">
                  <c:v>59.447619047652097</c:v>
                </c:pt>
                <c:pt idx="17">
                  <c:v>61.170542635659075</c:v>
                </c:pt>
                <c:pt idx="18">
                  <c:v>60.349999999981868</c:v>
                </c:pt>
                <c:pt idx="19">
                  <c:v>49.733771929825771</c:v>
                </c:pt>
                <c:pt idx="20">
                  <c:v>55.665789473684825</c:v>
                </c:pt>
                <c:pt idx="21">
                  <c:v>52.481094527366849</c:v>
                </c:pt>
                <c:pt idx="22">
                  <c:v>57.379710144910298</c:v>
                </c:pt>
                <c:pt idx="23">
                  <c:v>30.314705882366493</c:v>
                </c:pt>
                <c:pt idx="24">
                  <c:v>86.787931034465501</c:v>
                </c:pt>
                <c:pt idx="25">
                  <c:v>44.222222222257408</c:v>
                </c:pt>
                <c:pt idx="26">
                  <c:v>67.735555555556303</c:v>
                </c:pt>
                <c:pt idx="27">
                  <c:v>56.07962962963024</c:v>
                </c:pt>
                <c:pt idx="28">
                  <c:v>58.046969696978763</c:v>
                </c:pt>
                <c:pt idx="29">
                  <c:v>34.482539682517512</c:v>
                </c:pt>
                <c:pt idx="30">
                  <c:v>101.38125000001585</c:v>
                </c:pt>
                <c:pt idx="31">
                  <c:v>27.35231481480319</c:v>
                </c:pt>
                <c:pt idx="32">
                  <c:v>52.859459459483091</c:v>
                </c:pt>
                <c:pt idx="33">
                  <c:v>44.083333333333819</c:v>
                </c:pt>
                <c:pt idx="34">
                  <c:v>57.509374999982718</c:v>
                </c:pt>
                <c:pt idx="35">
                  <c:v>59.88125000002676</c:v>
                </c:pt>
                <c:pt idx="36">
                  <c:v>89.999999999982094</c:v>
                </c:pt>
                <c:pt idx="37">
                  <c:v>35.479629629632861</c:v>
                </c:pt>
                <c:pt idx="38">
                  <c:v>45.091056910549938</c:v>
                </c:pt>
                <c:pt idx="39">
                  <c:v>40.837662337661847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926680"/>
        <c:axId val="117242480"/>
      </c:scatterChart>
      <c:valAx>
        <c:axId val="227926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-F400]h:mm:ss\ AM/P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7242480"/>
        <c:crosses val="autoZero"/>
        <c:crossBetween val="midCat"/>
      </c:valAx>
      <c:valAx>
        <c:axId val="117242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&quot;min&quot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279266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25400" cap="flat" cmpd="sng" algn="ctr">
      <a:solidFill>
        <a:schemeClr val="tx1">
          <a:alpha val="76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Warteschlange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Wartepositiont</c:v>
          </c:tx>
          <c:spPr>
            <a:ln w="381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>
                  <a:alpha val="0"/>
                </a:schemeClr>
              </a:solidFill>
              <a:ln w="9525">
                <a:solidFill>
                  <a:schemeClr val="tx1">
                    <a:alpha val="0"/>
                  </a:schemeClr>
                </a:solidFill>
              </a:ln>
              <a:effectLst/>
            </c:spPr>
          </c:marker>
          <c:xVal>
            <c:numRef>
              <c:f>Tabelle1!$A$2:$A$41</c:f>
              <c:numCache>
                <c:formatCode>[$-F400]h:mm:ss\ AM/PM</c:formatCode>
                <c:ptCount val="40"/>
                <c:pt idx="0">
                  <c:v>0.77589120370370368</c:v>
                </c:pt>
                <c:pt idx="1">
                  <c:v>0.7766319444444445</c:v>
                </c:pt>
                <c:pt idx="2">
                  <c:v>0.77756944444444442</c:v>
                </c:pt>
                <c:pt idx="3">
                  <c:v>0.77781250000000002</c:v>
                </c:pt>
                <c:pt idx="4">
                  <c:v>0.77806712962962965</c:v>
                </c:pt>
                <c:pt idx="5">
                  <c:v>0.77818287037037026</c:v>
                </c:pt>
                <c:pt idx="6">
                  <c:v>0.77849537037037031</c:v>
                </c:pt>
                <c:pt idx="7">
                  <c:v>0.77866898148148145</c:v>
                </c:pt>
                <c:pt idx="8">
                  <c:v>0.77892361111111119</c:v>
                </c:pt>
                <c:pt idx="9">
                  <c:v>0.7794212962962962</c:v>
                </c:pt>
                <c:pt idx="10">
                  <c:v>0.77960648148148148</c:v>
                </c:pt>
                <c:pt idx="11">
                  <c:v>0.77991898148148142</c:v>
                </c:pt>
                <c:pt idx="12">
                  <c:v>0.78004629629629629</c:v>
                </c:pt>
                <c:pt idx="13">
                  <c:v>0.78030092592592604</c:v>
                </c:pt>
                <c:pt idx="14">
                  <c:v>0.78061342592592586</c:v>
                </c:pt>
                <c:pt idx="15">
                  <c:v>0.78079861111111104</c:v>
                </c:pt>
                <c:pt idx="16">
                  <c:v>0.78098379629629633</c:v>
                </c:pt>
                <c:pt idx="17">
                  <c:v>0.78218750000000004</c:v>
                </c:pt>
                <c:pt idx="18">
                  <c:v>0.78243055555555552</c:v>
                </c:pt>
                <c:pt idx="19">
                  <c:v>0.78355324074074073</c:v>
                </c:pt>
                <c:pt idx="20">
                  <c:v>0.7840625</c:v>
                </c:pt>
                <c:pt idx="21">
                  <c:v>0.78449074074074077</c:v>
                </c:pt>
                <c:pt idx="22">
                  <c:v>0.78481481481481474</c:v>
                </c:pt>
                <c:pt idx="23">
                  <c:v>0.78494212962962961</c:v>
                </c:pt>
                <c:pt idx="24">
                  <c:v>0.78525462962962955</c:v>
                </c:pt>
                <c:pt idx="25">
                  <c:v>0.78537037037037039</c:v>
                </c:pt>
                <c:pt idx="26">
                  <c:v>0.78562500000000002</c:v>
                </c:pt>
                <c:pt idx="27">
                  <c:v>0.78587962962962965</c:v>
                </c:pt>
                <c:pt idx="28">
                  <c:v>0.78612268518518524</c:v>
                </c:pt>
                <c:pt idx="29">
                  <c:v>0.78630787037037031</c:v>
                </c:pt>
                <c:pt idx="30">
                  <c:v>0.78662037037037036</c:v>
                </c:pt>
                <c:pt idx="31">
                  <c:v>0.78674768518518512</c:v>
                </c:pt>
                <c:pt idx="32">
                  <c:v>0.78700231481481486</c:v>
                </c:pt>
                <c:pt idx="33">
                  <c:v>0.7872569444444445</c:v>
                </c:pt>
                <c:pt idx="34">
                  <c:v>0.78749999999999998</c:v>
                </c:pt>
                <c:pt idx="35">
                  <c:v>0.78775462962962972</c:v>
                </c:pt>
                <c:pt idx="36">
                  <c:v>0.78806712962962966</c:v>
                </c:pt>
                <c:pt idx="37">
                  <c:v>0.78863425925925934</c:v>
                </c:pt>
                <c:pt idx="38">
                  <c:v>0.78888888888888886</c:v>
                </c:pt>
                <c:pt idx="39">
                  <c:v>0.78932870370370367</c:v>
                </c:pt>
              </c:numCache>
            </c:numRef>
          </c:xVal>
          <c:yVal>
            <c:numRef>
              <c:f>Tabelle1!$B$2:$B$41</c:f>
              <c:numCache>
                <c:formatCode>General</c:formatCode>
                <c:ptCount val="40"/>
                <c:pt idx="0">
                  <c:v>6982</c:v>
                </c:pt>
                <c:pt idx="1">
                  <c:v>6862</c:v>
                </c:pt>
                <c:pt idx="2">
                  <c:v>6735</c:v>
                </c:pt>
                <c:pt idx="3">
                  <c:v>6701</c:v>
                </c:pt>
                <c:pt idx="4">
                  <c:v>6674</c:v>
                </c:pt>
                <c:pt idx="5">
                  <c:v>6639</c:v>
                </c:pt>
                <c:pt idx="6">
                  <c:v>6602</c:v>
                </c:pt>
                <c:pt idx="7">
                  <c:v>6564</c:v>
                </c:pt>
                <c:pt idx="8">
                  <c:v>6545</c:v>
                </c:pt>
                <c:pt idx="9">
                  <c:v>6480</c:v>
                </c:pt>
                <c:pt idx="10">
                  <c:v>6443</c:v>
                </c:pt>
                <c:pt idx="11">
                  <c:v>6408</c:v>
                </c:pt>
                <c:pt idx="12">
                  <c:v>6361</c:v>
                </c:pt>
                <c:pt idx="13">
                  <c:v>6333</c:v>
                </c:pt>
                <c:pt idx="14">
                  <c:v>6306</c:v>
                </c:pt>
                <c:pt idx="15">
                  <c:v>6270</c:v>
                </c:pt>
                <c:pt idx="16">
                  <c:v>6242</c:v>
                </c:pt>
                <c:pt idx="17">
                  <c:v>6070</c:v>
                </c:pt>
                <c:pt idx="18">
                  <c:v>6035</c:v>
                </c:pt>
                <c:pt idx="19">
                  <c:v>5845</c:v>
                </c:pt>
                <c:pt idx="20">
                  <c:v>5769</c:v>
                </c:pt>
                <c:pt idx="21">
                  <c:v>5702</c:v>
                </c:pt>
                <c:pt idx="22">
                  <c:v>5656</c:v>
                </c:pt>
                <c:pt idx="23">
                  <c:v>5622</c:v>
                </c:pt>
                <c:pt idx="24">
                  <c:v>5593</c:v>
                </c:pt>
                <c:pt idx="25">
                  <c:v>5572</c:v>
                </c:pt>
                <c:pt idx="26">
                  <c:v>5542</c:v>
                </c:pt>
                <c:pt idx="27">
                  <c:v>5506</c:v>
                </c:pt>
                <c:pt idx="28">
                  <c:v>5473</c:v>
                </c:pt>
                <c:pt idx="29">
                  <c:v>5431</c:v>
                </c:pt>
                <c:pt idx="30">
                  <c:v>5407</c:v>
                </c:pt>
                <c:pt idx="31">
                  <c:v>5371</c:v>
                </c:pt>
                <c:pt idx="32">
                  <c:v>5334</c:v>
                </c:pt>
                <c:pt idx="33">
                  <c:v>5290</c:v>
                </c:pt>
                <c:pt idx="34">
                  <c:v>5258</c:v>
                </c:pt>
                <c:pt idx="35">
                  <c:v>5226</c:v>
                </c:pt>
                <c:pt idx="36">
                  <c:v>5200</c:v>
                </c:pt>
                <c:pt idx="37">
                  <c:v>5083</c:v>
                </c:pt>
                <c:pt idx="38">
                  <c:v>5042</c:v>
                </c:pt>
                <c:pt idx="39">
                  <c:v>4965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030464"/>
        <c:axId val="505033208"/>
      </c:scatterChart>
      <c:scatterChart>
        <c:scatterStyle val="lineMarker"/>
        <c:varyColors val="0"/>
        <c:ser>
          <c:idx val="1"/>
          <c:order val="1"/>
          <c:tx>
            <c:v>Positionen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FF0000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Tabelle1!$A$2:$A$41</c:f>
              <c:numCache>
                <c:formatCode>[$-F400]h:mm:ss\ AM/PM</c:formatCode>
                <c:ptCount val="40"/>
                <c:pt idx="0">
                  <c:v>0.77589120370370368</c:v>
                </c:pt>
                <c:pt idx="1">
                  <c:v>0.7766319444444445</c:v>
                </c:pt>
                <c:pt idx="2">
                  <c:v>0.77756944444444442</c:v>
                </c:pt>
                <c:pt idx="3">
                  <c:v>0.77781250000000002</c:v>
                </c:pt>
                <c:pt idx="4">
                  <c:v>0.77806712962962965</c:v>
                </c:pt>
                <c:pt idx="5">
                  <c:v>0.77818287037037026</c:v>
                </c:pt>
                <c:pt idx="6">
                  <c:v>0.77849537037037031</c:v>
                </c:pt>
                <c:pt idx="7">
                  <c:v>0.77866898148148145</c:v>
                </c:pt>
                <c:pt idx="8">
                  <c:v>0.77892361111111119</c:v>
                </c:pt>
                <c:pt idx="9">
                  <c:v>0.7794212962962962</c:v>
                </c:pt>
                <c:pt idx="10">
                  <c:v>0.77960648148148148</c:v>
                </c:pt>
                <c:pt idx="11">
                  <c:v>0.77991898148148142</c:v>
                </c:pt>
                <c:pt idx="12">
                  <c:v>0.78004629629629629</c:v>
                </c:pt>
                <c:pt idx="13">
                  <c:v>0.78030092592592604</c:v>
                </c:pt>
                <c:pt idx="14">
                  <c:v>0.78061342592592586</c:v>
                </c:pt>
                <c:pt idx="15">
                  <c:v>0.78079861111111104</c:v>
                </c:pt>
                <c:pt idx="16">
                  <c:v>0.78098379629629633</c:v>
                </c:pt>
                <c:pt idx="17">
                  <c:v>0.78218750000000004</c:v>
                </c:pt>
                <c:pt idx="18">
                  <c:v>0.78243055555555552</c:v>
                </c:pt>
                <c:pt idx="19">
                  <c:v>0.78355324074074073</c:v>
                </c:pt>
                <c:pt idx="20">
                  <c:v>0.7840625</c:v>
                </c:pt>
                <c:pt idx="21">
                  <c:v>0.78449074074074077</c:v>
                </c:pt>
                <c:pt idx="22">
                  <c:v>0.78481481481481474</c:v>
                </c:pt>
                <c:pt idx="23">
                  <c:v>0.78494212962962961</c:v>
                </c:pt>
                <c:pt idx="24">
                  <c:v>0.78525462962962955</c:v>
                </c:pt>
                <c:pt idx="25">
                  <c:v>0.78537037037037039</c:v>
                </c:pt>
                <c:pt idx="26">
                  <c:v>0.78562500000000002</c:v>
                </c:pt>
                <c:pt idx="27">
                  <c:v>0.78587962962962965</c:v>
                </c:pt>
                <c:pt idx="28">
                  <c:v>0.78612268518518524</c:v>
                </c:pt>
                <c:pt idx="29">
                  <c:v>0.78630787037037031</c:v>
                </c:pt>
                <c:pt idx="30">
                  <c:v>0.78662037037037036</c:v>
                </c:pt>
                <c:pt idx="31">
                  <c:v>0.78674768518518512</c:v>
                </c:pt>
                <c:pt idx="32">
                  <c:v>0.78700231481481486</c:v>
                </c:pt>
                <c:pt idx="33">
                  <c:v>0.7872569444444445</c:v>
                </c:pt>
                <c:pt idx="34">
                  <c:v>0.78749999999999998</c:v>
                </c:pt>
                <c:pt idx="35">
                  <c:v>0.78775462962962972</c:v>
                </c:pt>
                <c:pt idx="36">
                  <c:v>0.78806712962962966</c:v>
                </c:pt>
                <c:pt idx="37">
                  <c:v>0.78863425925925934</c:v>
                </c:pt>
                <c:pt idx="38">
                  <c:v>0.78888888888888886</c:v>
                </c:pt>
                <c:pt idx="39">
                  <c:v>0.78932870370370367</c:v>
                </c:pt>
              </c:numCache>
            </c:numRef>
          </c:xVal>
          <c:yVal>
            <c:numRef>
              <c:f>Tabelle1!$C$2:$C$41</c:f>
              <c:numCache>
                <c:formatCode>0</c:formatCode>
                <c:ptCount val="40"/>
                <c:pt idx="1">
                  <c:v>112.49999999998803</c:v>
                </c:pt>
                <c:pt idx="2">
                  <c:v>94.074074074081651</c:v>
                </c:pt>
                <c:pt idx="3">
                  <c:v>97.142857142841962</c:v>
                </c:pt>
                <c:pt idx="4">
                  <c:v>73.63636363636283</c:v>
                </c:pt>
                <c:pt idx="5">
                  <c:v>210.00000000023576</c:v>
                </c:pt>
                <c:pt idx="6">
                  <c:v>82.222222222209368</c:v>
                </c:pt>
                <c:pt idx="7">
                  <c:v>151.99999999997624</c:v>
                </c:pt>
                <c:pt idx="8">
                  <c:v>51.818181818158656</c:v>
                </c:pt>
                <c:pt idx="9">
                  <c:v>90.697674418637675</c:v>
                </c:pt>
                <c:pt idx="10">
                  <c:v>138.74999999992286</c:v>
                </c:pt>
                <c:pt idx="11">
                  <c:v>77.777777777793261</c:v>
                </c:pt>
                <c:pt idx="12">
                  <c:v>256.36363636352178</c:v>
                </c:pt>
                <c:pt idx="13">
                  <c:v>76.363636363602225</c:v>
                </c:pt>
                <c:pt idx="14">
                  <c:v>60.000000000033253</c:v>
                </c:pt>
                <c:pt idx="15">
                  <c:v>135.00000000000588</c:v>
                </c:pt>
                <c:pt idx="16">
                  <c:v>104.99999999994162</c:v>
                </c:pt>
                <c:pt idx="17">
                  <c:v>99.230769230768971</c:v>
                </c:pt>
                <c:pt idx="18">
                  <c:v>100.00000000003004</c:v>
                </c:pt>
                <c:pt idx="19">
                  <c:v>117.52577319587343</c:v>
                </c:pt>
                <c:pt idx="20">
                  <c:v>103.63636363636249</c:v>
                </c:pt>
                <c:pt idx="21">
                  <c:v>108.64864864864106</c:v>
                </c:pt>
                <c:pt idx="22">
                  <c:v>98.571428571458185</c:v>
                </c:pt>
                <c:pt idx="23">
                  <c:v>185.45454545446256</c:v>
                </c:pt>
                <c:pt idx="24">
                  <c:v>64.444444444457261</c:v>
                </c:pt>
                <c:pt idx="25">
                  <c:v>125.99999999989974</c:v>
                </c:pt>
                <c:pt idx="26">
                  <c:v>81.818181818180918</c:v>
                </c:pt>
                <c:pt idx="27">
                  <c:v>98.181818181817107</c:v>
                </c:pt>
                <c:pt idx="28">
                  <c:v>94.285714285699555</c:v>
                </c:pt>
                <c:pt idx="29">
                  <c:v>157.50000000010127</c:v>
                </c:pt>
                <c:pt idx="30">
                  <c:v>53.333333333324994</c:v>
                </c:pt>
                <c:pt idx="31">
                  <c:v>196.36363636371982</c:v>
                </c:pt>
                <c:pt idx="32">
                  <c:v>100.9090909090458</c:v>
                </c:pt>
                <c:pt idx="33">
                  <c:v>119.99999999999868</c:v>
                </c:pt>
                <c:pt idx="34">
                  <c:v>91.4285714285989</c:v>
                </c:pt>
                <c:pt idx="35">
                  <c:v>87.272727272688272</c:v>
                </c:pt>
                <c:pt idx="36">
                  <c:v>57.777777777789275</c:v>
                </c:pt>
                <c:pt idx="37">
                  <c:v>143.26530612243593</c:v>
                </c:pt>
                <c:pt idx="38">
                  <c:v>111.81818181822935</c:v>
                </c:pt>
                <c:pt idx="39">
                  <c:v>121.5789473684225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025760"/>
        <c:axId val="505029288"/>
      </c:scatterChart>
      <c:valAx>
        <c:axId val="505030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-F400]h:mm:ss\ AM/P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5033208"/>
        <c:crosses val="autoZero"/>
        <c:crossBetween val="midCat"/>
      </c:valAx>
      <c:valAx>
        <c:axId val="505033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5030464"/>
        <c:crosses val="autoZero"/>
        <c:crossBetween val="midCat"/>
      </c:valAx>
      <c:valAx>
        <c:axId val="505029288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5025760"/>
        <c:crosses val="max"/>
        <c:crossBetween val="midCat"/>
      </c:valAx>
      <c:valAx>
        <c:axId val="505025760"/>
        <c:scaling>
          <c:orientation val="minMax"/>
        </c:scaling>
        <c:delete val="1"/>
        <c:axPos val="b"/>
        <c:numFmt formatCode="[$-F400]h:mm:ss\ AM/PM" sourceLinked="1"/>
        <c:majorTickMark val="out"/>
        <c:minorTickMark val="none"/>
        <c:tickLblPos val="nextTo"/>
        <c:crossAx val="5050292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25400" cap="flat" cmpd="sng" algn="ctr">
      <a:solidFill>
        <a:schemeClr val="tx1">
          <a:alpha val="76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619125</xdr:colOff>
          <xdr:row>1</xdr:row>
          <xdr:rowOff>152400</xdr:rowOff>
        </xdr:from>
        <xdr:to>
          <xdr:col>18</xdr:col>
          <xdr:colOff>619125</xdr:colOff>
          <xdr:row>2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AutoUpdate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514350</xdr:colOff>
      <xdr:row>18</xdr:row>
      <xdr:rowOff>0</xdr:rowOff>
    </xdr:from>
    <xdr:to>
      <xdr:col>14</xdr:col>
      <xdr:colOff>342900</xdr:colOff>
      <xdr:row>30</xdr:row>
      <xdr:rowOff>57150</xdr:rowOff>
    </xdr:to>
    <xdr:graphicFrame macro="">
      <xdr:nvGraphicFramePr>
        <xdr:cNvPr id="4" name="Diagramm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504825</xdr:colOff>
      <xdr:row>1</xdr:row>
      <xdr:rowOff>28575</xdr:rowOff>
    </xdr:from>
    <xdr:to>
      <xdr:col>14</xdr:col>
      <xdr:colOff>381000</xdr:colOff>
      <xdr:row>16</xdr:row>
      <xdr:rowOff>142875</xdr:rowOff>
    </xdr:to>
    <xdr:graphicFrame macro="">
      <xdr:nvGraphicFramePr>
        <xdr:cNvPr id="8" name="Diagramm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revisions/_rels/revisionHeaders.xml.rels><?xml version="1.0" encoding="UTF-8" standalone="yes"?>
<Relationships xmlns="http://schemas.openxmlformats.org/package/2006/relationships"><Relationship Id="rId117" Type="http://schemas.openxmlformats.org/officeDocument/2006/relationships/revisionLog" Target="revisionLog64.xml"/><Relationship Id="rId299" Type="http://schemas.openxmlformats.org/officeDocument/2006/relationships/revisionLog" Target="revisionLog246.xml"/><Relationship Id="rId303" Type="http://schemas.openxmlformats.org/officeDocument/2006/relationships/revisionLog" Target="revisionLog250.xml"/><Relationship Id="rId63" Type="http://schemas.openxmlformats.org/officeDocument/2006/relationships/revisionLog" Target="revisionLog8.xml"/><Relationship Id="rId84" Type="http://schemas.openxmlformats.org/officeDocument/2006/relationships/revisionLog" Target="revisionLog31.xml"/><Relationship Id="rId138" Type="http://schemas.openxmlformats.org/officeDocument/2006/relationships/revisionLog" Target="revisionLog85.xml"/><Relationship Id="rId159" Type="http://schemas.openxmlformats.org/officeDocument/2006/relationships/revisionLog" Target="revisionLog106.xml"/><Relationship Id="rId324" Type="http://schemas.openxmlformats.org/officeDocument/2006/relationships/revisionLog" Target="revisionLog271.xml"/><Relationship Id="rId345" Type="http://schemas.openxmlformats.org/officeDocument/2006/relationships/revisionLog" Target="revisionLog292.xml"/><Relationship Id="rId366" Type="http://schemas.openxmlformats.org/officeDocument/2006/relationships/revisionLog" Target="revisionLog313.xml"/><Relationship Id="rId387" Type="http://schemas.openxmlformats.org/officeDocument/2006/relationships/revisionLog" Target="revisionLog334.xml"/><Relationship Id="rId170" Type="http://schemas.openxmlformats.org/officeDocument/2006/relationships/revisionLog" Target="revisionLog117.xml"/><Relationship Id="rId191" Type="http://schemas.openxmlformats.org/officeDocument/2006/relationships/revisionLog" Target="revisionLog138.xml"/><Relationship Id="rId205" Type="http://schemas.openxmlformats.org/officeDocument/2006/relationships/revisionLog" Target="revisionLog152.xml"/><Relationship Id="rId226" Type="http://schemas.openxmlformats.org/officeDocument/2006/relationships/revisionLog" Target="revisionLog173.xml"/><Relationship Id="rId247" Type="http://schemas.openxmlformats.org/officeDocument/2006/relationships/revisionLog" Target="revisionLog194.xml"/><Relationship Id="rId107" Type="http://schemas.openxmlformats.org/officeDocument/2006/relationships/revisionLog" Target="revisionLog54.xml"/><Relationship Id="rId268" Type="http://schemas.openxmlformats.org/officeDocument/2006/relationships/revisionLog" Target="revisionLog215.xml"/><Relationship Id="rId289" Type="http://schemas.openxmlformats.org/officeDocument/2006/relationships/revisionLog" Target="revisionLog236.xml"/><Relationship Id="rId74" Type="http://schemas.openxmlformats.org/officeDocument/2006/relationships/revisionLog" Target="revisionLog21.xml"/><Relationship Id="rId128" Type="http://schemas.openxmlformats.org/officeDocument/2006/relationships/revisionLog" Target="revisionLog75.xml"/><Relationship Id="rId149" Type="http://schemas.openxmlformats.org/officeDocument/2006/relationships/revisionLog" Target="revisionLog96.xml"/><Relationship Id="rId314" Type="http://schemas.openxmlformats.org/officeDocument/2006/relationships/revisionLog" Target="revisionLog261.xml"/><Relationship Id="rId335" Type="http://schemas.openxmlformats.org/officeDocument/2006/relationships/revisionLog" Target="revisionLog282.xml"/><Relationship Id="rId356" Type="http://schemas.openxmlformats.org/officeDocument/2006/relationships/revisionLog" Target="revisionLog303.xml"/><Relationship Id="rId377" Type="http://schemas.openxmlformats.org/officeDocument/2006/relationships/revisionLog" Target="revisionLog324.xml"/><Relationship Id="rId398" Type="http://schemas.openxmlformats.org/officeDocument/2006/relationships/revisionLog" Target="revisionLog345.xml"/><Relationship Id="rId95" Type="http://schemas.openxmlformats.org/officeDocument/2006/relationships/revisionLog" Target="revisionLog42.xml"/><Relationship Id="rId160" Type="http://schemas.openxmlformats.org/officeDocument/2006/relationships/revisionLog" Target="revisionLog107.xml"/><Relationship Id="rId181" Type="http://schemas.openxmlformats.org/officeDocument/2006/relationships/revisionLog" Target="revisionLog128.xml"/><Relationship Id="rId216" Type="http://schemas.openxmlformats.org/officeDocument/2006/relationships/revisionLog" Target="revisionLog163.xml"/><Relationship Id="rId237" Type="http://schemas.openxmlformats.org/officeDocument/2006/relationships/revisionLog" Target="revisionLog184.xml"/><Relationship Id="rId402" Type="http://schemas.openxmlformats.org/officeDocument/2006/relationships/revisionLog" Target="revisionLog349.xml"/><Relationship Id="rId258" Type="http://schemas.openxmlformats.org/officeDocument/2006/relationships/revisionLog" Target="revisionLog205.xml"/><Relationship Id="rId279" Type="http://schemas.openxmlformats.org/officeDocument/2006/relationships/revisionLog" Target="revisionLog226.xml"/><Relationship Id="rId64" Type="http://schemas.openxmlformats.org/officeDocument/2006/relationships/revisionLog" Target="revisionLog9.xml"/><Relationship Id="rId118" Type="http://schemas.openxmlformats.org/officeDocument/2006/relationships/revisionLog" Target="revisionLog65.xml"/><Relationship Id="rId139" Type="http://schemas.openxmlformats.org/officeDocument/2006/relationships/revisionLog" Target="revisionLog86.xml"/><Relationship Id="rId290" Type="http://schemas.openxmlformats.org/officeDocument/2006/relationships/revisionLog" Target="revisionLog237.xml"/><Relationship Id="rId304" Type="http://schemas.openxmlformats.org/officeDocument/2006/relationships/revisionLog" Target="revisionLog251.xml"/><Relationship Id="rId325" Type="http://schemas.openxmlformats.org/officeDocument/2006/relationships/revisionLog" Target="revisionLog272.xml"/><Relationship Id="rId346" Type="http://schemas.openxmlformats.org/officeDocument/2006/relationships/revisionLog" Target="revisionLog293.xml"/><Relationship Id="rId367" Type="http://schemas.openxmlformats.org/officeDocument/2006/relationships/revisionLog" Target="revisionLog314.xml"/><Relationship Id="rId388" Type="http://schemas.openxmlformats.org/officeDocument/2006/relationships/revisionLog" Target="revisionLog335.xml"/><Relationship Id="rId85" Type="http://schemas.openxmlformats.org/officeDocument/2006/relationships/revisionLog" Target="revisionLog32.xml"/><Relationship Id="rId150" Type="http://schemas.openxmlformats.org/officeDocument/2006/relationships/revisionLog" Target="revisionLog97.xml"/><Relationship Id="rId171" Type="http://schemas.openxmlformats.org/officeDocument/2006/relationships/revisionLog" Target="revisionLog118.xml"/><Relationship Id="rId192" Type="http://schemas.openxmlformats.org/officeDocument/2006/relationships/revisionLog" Target="revisionLog139.xml"/><Relationship Id="rId206" Type="http://schemas.openxmlformats.org/officeDocument/2006/relationships/revisionLog" Target="revisionLog153.xml"/><Relationship Id="rId227" Type="http://schemas.openxmlformats.org/officeDocument/2006/relationships/revisionLog" Target="revisionLog174.xml"/><Relationship Id="rId248" Type="http://schemas.openxmlformats.org/officeDocument/2006/relationships/revisionLog" Target="revisionLog195.xml"/><Relationship Id="rId269" Type="http://schemas.openxmlformats.org/officeDocument/2006/relationships/revisionLog" Target="revisionLog216.xml"/><Relationship Id="rId108" Type="http://schemas.openxmlformats.org/officeDocument/2006/relationships/revisionLog" Target="revisionLog55.xml"/><Relationship Id="rId129" Type="http://schemas.openxmlformats.org/officeDocument/2006/relationships/revisionLog" Target="revisionLog76.xml"/><Relationship Id="rId280" Type="http://schemas.openxmlformats.org/officeDocument/2006/relationships/revisionLog" Target="revisionLog227.xml"/><Relationship Id="rId315" Type="http://schemas.openxmlformats.org/officeDocument/2006/relationships/revisionLog" Target="revisionLog262.xml"/><Relationship Id="rId336" Type="http://schemas.openxmlformats.org/officeDocument/2006/relationships/revisionLog" Target="revisionLog283.xml"/><Relationship Id="rId357" Type="http://schemas.openxmlformats.org/officeDocument/2006/relationships/revisionLog" Target="revisionLog304.xml"/><Relationship Id="rId54" Type="http://schemas.openxmlformats.org/officeDocument/2006/relationships/revisionLog" Target="revisionLog17.xml"/><Relationship Id="rId75" Type="http://schemas.openxmlformats.org/officeDocument/2006/relationships/revisionLog" Target="revisionLog22.xml"/><Relationship Id="rId96" Type="http://schemas.openxmlformats.org/officeDocument/2006/relationships/revisionLog" Target="revisionLog43.xml"/><Relationship Id="rId140" Type="http://schemas.openxmlformats.org/officeDocument/2006/relationships/revisionLog" Target="revisionLog87.xml"/><Relationship Id="rId161" Type="http://schemas.openxmlformats.org/officeDocument/2006/relationships/revisionLog" Target="revisionLog108.xml"/><Relationship Id="rId182" Type="http://schemas.openxmlformats.org/officeDocument/2006/relationships/revisionLog" Target="revisionLog129.xml"/><Relationship Id="rId217" Type="http://schemas.openxmlformats.org/officeDocument/2006/relationships/revisionLog" Target="revisionLog164.xml"/><Relationship Id="rId378" Type="http://schemas.openxmlformats.org/officeDocument/2006/relationships/revisionLog" Target="revisionLog325.xml"/><Relationship Id="rId399" Type="http://schemas.openxmlformats.org/officeDocument/2006/relationships/revisionLog" Target="revisionLog346.xml"/><Relationship Id="rId403" Type="http://schemas.openxmlformats.org/officeDocument/2006/relationships/revisionLog" Target="revisionLog350.xml"/><Relationship Id="rId238" Type="http://schemas.openxmlformats.org/officeDocument/2006/relationships/revisionLog" Target="revisionLog185.xml"/><Relationship Id="rId259" Type="http://schemas.openxmlformats.org/officeDocument/2006/relationships/revisionLog" Target="revisionLog206.xml"/><Relationship Id="rId119" Type="http://schemas.openxmlformats.org/officeDocument/2006/relationships/revisionLog" Target="revisionLog66.xml"/><Relationship Id="rId270" Type="http://schemas.openxmlformats.org/officeDocument/2006/relationships/revisionLog" Target="revisionLog217.xml"/><Relationship Id="rId291" Type="http://schemas.openxmlformats.org/officeDocument/2006/relationships/revisionLog" Target="revisionLog238.xml"/><Relationship Id="rId305" Type="http://schemas.openxmlformats.org/officeDocument/2006/relationships/revisionLog" Target="revisionLog252.xml"/><Relationship Id="rId326" Type="http://schemas.openxmlformats.org/officeDocument/2006/relationships/revisionLog" Target="revisionLog273.xml"/><Relationship Id="rId347" Type="http://schemas.openxmlformats.org/officeDocument/2006/relationships/revisionLog" Target="revisionLog294.xml"/><Relationship Id="rId65" Type="http://schemas.openxmlformats.org/officeDocument/2006/relationships/revisionLog" Target="revisionLog10.xml"/><Relationship Id="rId86" Type="http://schemas.openxmlformats.org/officeDocument/2006/relationships/revisionLog" Target="revisionLog33.xml"/><Relationship Id="rId130" Type="http://schemas.openxmlformats.org/officeDocument/2006/relationships/revisionLog" Target="revisionLog77.xml"/><Relationship Id="rId151" Type="http://schemas.openxmlformats.org/officeDocument/2006/relationships/revisionLog" Target="revisionLog98.xml"/><Relationship Id="rId368" Type="http://schemas.openxmlformats.org/officeDocument/2006/relationships/revisionLog" Target="revisionLog315.xml"/><Relationship Id="rId389" Type="http://schemas.openxmlformats.org/officeDocument/2006/relationships/revisionLog" Target="revisionLog336.xml"/><Relationship Id="rId172" Type="http://schemas.openxmlformats.org/officeDocument/2006/relationships/revisionLog" Target="revisionLog119.xml"/><Relationship Id="rId193" Type="http://schemas.openxmlformats.org/officeDocument/2006/relationships/revisionLog" Target="revisionLog140.xml"/><Relationship Id="rId207" Type="http://schemas.openxmlformats.org/officeDocument/2006/relationships/revisionLog" Target="revisionLog154.xml"/><Relationship Id="rId228" Type="http://schemas.openxmlformats.org/officeDocument/2006/relationships/revisionLog" Target="revisionLog175.xml"/><Relationship Id="rId249" Type="http://schemas.openxmlformats.org/officeDocument/2006/relationships/revisionLog" Target="revisionLog196.xml"/><Relationship Id="rId109" Type="http://schemas.openxmlformats.org/officeDocument/2006/relationships/revisionLog" Target="revisionLog56.xml"/><Relationship Id="rId260" Type="http://schemas.openxmlformats.org/officeDocument/2006/relationships/revisionLog" Target="revisionLog207.xml"/><Relationship Id="rId281" Type="http://schemas.openxmlformats.org/officeDocument/2006/relationships/revisionLog" Target="revisionLog228.xml"/><Relationship Id="rId316" Type="http://schemas.openxmlformats.org/officeDocument/2006/relationships/revisionLog" Target="revisionLog263.xml"/><Relationship Id="rId337" Type="http://schemas.openxmlformats.org/officeDocument/2006/relationships/revisionLog" Target="revisionLog284.xml"/><Relationship Id="rId55" Type="http://schemas.openxmlformats.org/officeDocument/2006/relationships/revisionLog" Target="revisionLog18.xml"/><Relationship Id="rId76" Type="http://schemas.openxmlformats.org/officeDocument/2006/relationships/revisionLog" Target="revisionLog23.xml"/><Relationship Id="rId97" Type="http://schemas.openxmlformats.org/officeDocument/2006/relationships/revisionLog" Target="revisionLog44.xml"/><Relationship Id="rId120" Type="http://schemas.openxmlformats.org/officeDocument/2006/relationships/revisionLog" Target="revisionLog67.xml"/><Relationship Id="rId141" Type="http://schemas.openxmlformats.org/officeDocument/2006/relationships/revisionLog" Target="revisionLog88.xml"/><Relationship Id="rId358" Type="http://schemas.openxmlformats.org/officeDocument/2006/relationships/revisionLog" Target="revisionLog305.xml"/><Relationship Id="rId379" Type="http://schemas.openxmlformats.org/officeDocument/2006/relationships/revisionLog" Target="revisionLog326.xml"/><Relationship Id="rId162" Type="http://schemas.openxmlformats.org/officeDocument/2006/relationships/revisionLog" Target="revisionLog109.xml"/><Relationship Id="rId183" Type="http://schemas.openxmlformats.org/officeDocument/2006/relationships/revisionLog" Target="revisionLog130.xml"/><Relationship Id="rId218" Type="http://schemas.openxmlformats.org/officeDocument/2006/relationships/revisionLog" Target="revisionLog165.xml"/><Relationship Id="rId239" Type="http://schemas.openxmlformats.org/officeDocument/2006/relationships/revisionLog" Target="revisionLog186.xml"/><Relationship Id="rId390" Type="http://schemas.openxmlformats.org/officeDocument/2006/relationships/revisionLog" Target="revisionLog337.xml"/><Relationship Id="rId404" Type="http://schemas.openxmlformats.org/officeDocument/2006/relationships/revisionLog" Target="revisionLog351.xml"/><Relationship Id="rId250" Type="http://schemas.openxmlformats.org/officeDocument/2006/relationships/revisionLog" Target="revisionLog197.xml"/><Relationship Id="rId271" Type="http://schemas.openxmlformats.org/officeDocument/2006/relationships/revisionLog" Target="revisionLog218.xml"/><Relationship Id="rId292" Type="http://schemas.openxmlformats.org/officeDocument/2006/relationships/revisionLog" Target="revisionLog239.xml"/><Relationship Id="rId306" Type="http://schemas.openxmlformats.org/officeDocument/2006/relationships/revisionLog" Target="revisionLog253.xml"/><Relationship Id="rId66" Type="http://schemas.openxmlformats.org/officeDocument/2006/relationships/revisionLog" Target="revisionLog11.xml"/><Relationship Id="rId87" Type="http://schemas.openxmlformats.org/officeDocument/2006/relationships/revisionLog" Target="revisionLog34.xml"/><Relationship Id="rId110" Type="http://schemas.openxmlformats.org/officeDocument/2006/relationships/revisionLog" Target="revisionLog57.xml"/><Relationship Id="rId131" Type="http://schemas.openxmlformats.org/officeDocument/2006/relationships/revisionLog" Target="revisionLog78.xml"/><Relationship Id="rId327" Type="http://schemas.openxmlformats.org/officeDocument/2006/relationships/revisionLog" Target="revisionLog274.xml"/><Relationship Id="rId348" Type="http://schemas.openxmlformats.org/officeDocument/2006/relationships/revisionLog" Target="revisionLog295.xml"/><Relationship Id="rId369" Type="http://schemas.openxmlformats.org/officeDocument/2006/relationships/revisionLog" Target="revisionLog316.xml"/><Relationship Id="rId152" Type="http://schemas.openxmlformats.org/officeDocument/2006/relationships/revisionLog" Target="revisionLog99.xml"/><Relationship Id="rId173" Type="http://schemas.openxmlformats.org/officeDocument/2006/relationships/revisionLog" Target="revisionLog120.xml"/><Relationship Id="rId194" Type="http://schemas.openxmlformats.org/officeDocument/2006/relationships/revisionLog" Target="revisionLog141.xml"/><Relationship Id="rId208" Type="http://schemas.openxmlformats.org/officeDocument/2006/relationships/revisionLog" Target="revisionLog155.xml"/><Relationship Id="rId229" Type="http://schemas.openxmlformats.org/officeDocument/2006/relationships/revisionLog" Target="revisionLog176.xml"/><Relationship Id="rId380" Type="http://schemas.openxmlformats.org/officeDocument/2006/relationships/revisionLog" Target="revisionLog327.xml"/><Relationship Id="rId240" Type="http://schemas.openxmlformats.org/officeDocument/2006/relationships/revisionLog" Target="revisionLog187.xml"/><Relationship Id="rId261" Type="http://schemas.openxmlformats.org/officeDocument/2006/relationships/revisionLog" Target="revisionLog208.xml"/><Relationship Id="rId56" Type="http://schemas.openxmlformats.org/officeDocument/2006/relationships/revisionLog" Target="revisionLog1.xml"/><Relationship Id="rId77" Type="http://schemas.openxmlformats.org/officeDocument/2006/relationships/revisionLog" Target="revisionLog24.xml"/><Relationship Id="rId100" Type="http://schemas.openxmlformats.org/officeDocument/2006/relationships/revisionLog" Target="revisionLog47.xml"/><Relationship Id="rId282" Type="http://schemas.openxmlformats.org/officeDocument/2006/relationships/revisionLog" Target="revisionLog229.xml"/><Relationship Id="rId317" Type="http://schemas.openxmlformats.org/officeDocument/2006/relationships/revisionLog" Target="revisionLog264.xml"/><Relationship Id="rId338" Type="http://schemas.openxmlformats.org/officeDocument/2006/relationships/revisionLog" Target="revisionLog285.xml"/><Relationship Id="rId359" Type="http://schemas.openxmlformats.org/officeDocument/2006/relationships/revisionLog" Target="revisionLog306.xml"/><Relationship Id="rId98" Type="http://schemas.openxmlformats.org/officeDocument/2006/relationships/revisionLog" Target="revisionLog45.xml"/><Relationship Id="rId121" Type="http://schemas.openxmlformats.org/officeDocument/2006/relationships/revisionLog" Target="revisionLog68.xml"/><Relationship Id="rId142" Type="http://schemas.openxmlformats.org/officeDocument/2006/relationships/revisionLog" Target="revisionLog89.xml"/><Relationship Id="rId163" Type="http://schemas.openxmlformats.org/officeDocument/2006/relationships/revisionLog" Target="revisionLog110.xml"/><Relationship Id="rId184" Type="http://schemas.openxmlformats.org/officeDocument/2006/relationships/revisionLog" Target="revisionLog131.xml"/><Relationship Id="rId219" Type="http://schemas.openxmlformats.org/officeDocument/2006/relationships/revisionLog" Target="revisionLog166.xml"/><Relationship Id="rId370" Type="http://schemas.openxmlformats.org/officeDocument/2006/relationships/revisionLog" Target="revisionLog317.xml"/><Relationship Id="rId391" Type="http://schemas.openxmlformats.org/officeDocument/2006/relationships/revisionLog" Target="revisionLog338.xml"/><Relationship Id="rId405" Type="http://schemas.openxmlformats.org/officeDocument/2006/relationships/revisionLog" Target="revisionLog352.xml"/><Relationship Id="rId230" Type="http://schemas.openxmlformats.org/officeDocument/2006/relationships/revisionLog" Target="revisionLog177.xml"/><Relationship Id="rId251" Type="http://schemas.openxmlformats.org/officeDocument/2006/relationships/revisionLog" Target="revisionLog198.xml"/><Relationship Id="rId67" Type="http://schemas.openxmlformats.org/officeDocument/2006/relationships/revisionLog" Target="revisionLog12.xml"/><Relationship Id="rId272" Type="http://schemas.openxmlformats.org/officeDocument/2006/relationships/revisionLog" Target="revisionLog219.xml"/><Relationship Id="rId293" Type="http://schemas.openxmlformats.org/officeDocument/2006/relationships/revisionLog" Target="revisionLog240.xml"/><Relationship Id="rId307" Type="http://schemas.openxmlformats.org/officeDocument/2006/relationships/revisionLog" Target="revisionLog254.xml"/><Relationship Id="rId328" Type="http://schemas.openxmlformats.org/officeDocument/2006/relationships/revisionLog" Target="revisionLog275.xml"/><Relationship Id="rId349" Type="http://schemas.openxmlformats.org/officeDocument/2006/relationships/revisionLog" Target="revisionLog296.xml"/><Relationship Id="rId88" Type="http://schemas.openxmlformats.org/officeDocument/2006/relationships/revisionLog" Target="revisionLog35.xml"/><Relationship Id="rId111" Type="http://schemas.openxmlformats.org/officeDocument/2006/relationships/revisionLog" Target="revisionLog58.xml"/><Relationship Id="rId132" Type="http://schemas.openxmlformats.org/officeDocument/2006/relationships/revisionLog" Target="revisionLog79.xml"/><Relationship Id="rId153" Type="http://schemas.openxmlformats.org/officeDocument/2006/relationships/revisionLog" Target="revisionLog100.xml"/><Relationship Id="rId174" Type="http://schemas.openxmlformats.org/officeDocument/2006/relationships/revisionLog" Target="revisionLog121.xml"/><Relationship Id="rId195" Type="http://schemas.openxmlformats.org/officeDocument/2006/relationships/revisionLog" Target="revisionLog142.xml"/><Relationship Id="rId209" Type="http://schemas.openxmlformats.org/officeDocument/2006/relationships/revisionLog" Target="revisionLog156.xml"/><Relationship Id="rId360" Type="http://schemas.openxmlformats.org/officeDocument/2006/relationships/revisionLog" Target="revisionLog307.xml"/><Relationship Id="rId381" Type="http://schemas.openxmlformats.org/officeDocument/2006/relationships/revisionLog" Target="revisionLog328.xml"/><Relationship Id="rId190" Type="http://schemas.openxmlformats.org/officeDocument/2006/relationships/revisionLog" Target="revisionLog137.xml"/><Relationship Id="rId204" Type="http://schemas.openxmlformats.org/officeDocument/2006/relationships/revisionLog" Target="revisionLog151.xml"/><Relationship Id="rId220" Type="http://schemas.openxmlformats.org/officeDocument/2006/relationships/revisionLog" Target="revisionLog167.xml"/><Relationship Id="rId225" Type="http://schemas.openxmlformats.org/officeDocument/2006/relationships/revisionLog" Target="revisionLog172.xml"/><Relationship Id="rId241" Type="http://schemas.openxmlformats.org/officeDocument/2006/relationships/revisionLog" Target="revisionLog188.xml"/><Relationship Id="rId246" Type="http://schemas.openxmlformats.org/officeDocument/2006/relationships/revisionLog" Target="revisionLog193.xml"/><Relationship Id="rId267" Type="http://schemas.openxmlformats.org/officeDocument/2006/relationships/revisionLog" Target="revisionLog214.xml"/><Relationship Id="rId288" Type="http://schemas.openxmlformats.org/officeDocument/2006/relationships/revisionLog" Target="revisionLog235.xml"/><Relationship Id="rId411" Type="http://schemas.openxmlformats.org/officeDocument/2006/relationships/revisionLog" Target="revisionLog358.xml"/><Relationship Id="rId57" Type="http://schemas.openxmlformats.org/officeDocument/2006/relationships/revisionLog" Target="revisionLog2.xml"/><Relationship Id="rId106" Type="http://schemas.openxmlformats.org/officeDocument/2006/relationships/revisionLog" Target="revisionLog53.xml"/><Relationship Id="rId127" Type="http://schemas.openxmlformats.org/officeDocument/2006/relationships/revisionLog" Target="revisionLog74.xml"/><Relationship Id="rId262" Type="http://schemas.openxmlformats.org/officeDocument/2006/relationships/revisionLog" Target="revisionLog209.xml"/><Relationship Id="rId283" Type="http://schemas.openxmlformats.org/officeDocument/2006/relationships/revisionLog" Target="revisionLog230.xml"/><Relationship Id="rId313" Type="http://schemas.openxmlformats.org/officeDocument/2006/relationships/revisionLog" Target="revisionLog260.xml"/><Relationship Id="rId318" Type="http://schemas.openxmlformats.org/officeDocument/2006/relationships/revisionLog" Target="revisionLog265.xml"/><Relationship Id="rId339" Type="http://schemas.openxmlformats.org/officeDocument/2006/relationships/revisionLog" Target="revisionLog286.xml"/><Relationship Id="rId73" Type="http://schemas.openxmlformats.org/officeDocument/2006/relationships/revisionLog" Target="revisionLog20.xml"/><Relationship Id="rId78" Type="http://schemas.openxmlformats.org/officeDocument/2006/relationships/revisionLog" Target="revisionLog25.xml"/><Relationship Id="rId94" Type="http://schemas.openxmlformats.org/officeDocument/2006/relationships/revisionLog" Target="revisionLog41.xml"/><Relationship Id="rId99" Type="http://schemas.openxmlformats.org/officeDocument/2006/relationships/revisionLog" Target="revisionLog46.xml"/><Relationship Id="rId101" Type="http://schemas.openxmlformats.org/officeDocument/2006/relationships/revisionLog" Target="revisionLog48.xml"/><Relationship Id="rId122" Type="http://schemas.openxmlformats.org/officeDocument/2006/relationships/revisionLog" Target="revisionLog69.xml"/><Relationship Id="rId143" Type="http://schemas.openxmlformats.org/officeDocument/2006/relationships/revisionLog" Target="revisionLog90.xml"/><Relationship Id="rId148" Type="http://schemas.openxmlformats.org/officeDocument/2006/relationships/revisionLog" Target="revisionLog95.xml"/><Relationship Id="rId164" Type="http://schemas.openxmlformats.org/officeDocument/2006/relationships/revisionLog" Target="revisionLog111.xml"/><Relationship Id="rId169" Type="http://schemas.openxmlformats.org/officeDocument/2006/relationships/revisionLog" Target="revisionLog116.xml"/><Relationship Id="rId185" Type="http://schemas.openxmlformats.org/officeDocument/2006/relationships/revisionLog" Target="revisionLog132.xml"/><Relationship Id="rId334" Type="http://schemas.openxmlformats.org/officeDocument/2006/relationships/revisionLog" Target="revisionLog281.xml"/><Relationship Id="rId350" Type="http://schemas.openxmlformats.org/officeDocument/2006/relationships/revisionLog" Target="revisionLog297.xml"/><Relationship Id="rId355" Type="http://schemas.openxmlformats.org/officeDocument/2006/relationships/revisionLog" Target="revisionLog302.xml"/><Relationship Id="rId371" Type="http://schemas.openxmlformats.org/officeDocument/2006/relationships/revisionLog" Target="revisionLog318.xml"/><Relationship Id="rId376" Type="http://schemas.openxmlformats.org/officeDocument/2006/relationships/revisionLog" Target="revisionLog323.xml"/><Relationship Id="rId397" Type="http://schemas.openxmlformats.org/officeDocument/2006/relationships/revisionLog" Target="revisionLog344.xml"/><Relationship Id="rId406" Type="http://schemas.openxmlformats.org/officeDocument/2006/relationships/revisionLog" Target="revisionLog353.xml"/><Relationship Id="rId180" Type="http://schemas.openxmlformats.org/officeDocument/2006/relationships/revisionLog" Target="revisionLog127.xml"/><Relationship Id="rId210" Type="http://schemas.openxmlformats.org/officeDocument/2006/relationships/revisionLog" Target="revisionLog157.xml"/><Relationship Id="rId215" Type="http://schemas.openxmlformats.org/officeDocument/2006/relationships/revisionLog" Target="revisionLog162.xml"/><Relationship Id="rId236" Type="http://schemas.openxmlformats.org/officeDocument/2006/relationships/revisionLog" Target="revisionLog183.xml"/><Relationship Id="rId257" Type="http://schemas.openxmlformats.org/officeDocument/2006/relationships/revisionLog" Target="revisionLog204.xml"/><Relationship Id="rId278" Type="http://schemas.openxmlformats.org/officeDocument/2006/relationships/revisionLog" Target="revisionLog225.xml"/><Relationship Id="rId392" Type="http://schemas.openxmlformats.org/officeDocument/2006/relationships/revisionLog" Target="revisionLog339.xml"/><Relationship Id="rId401" Type="http://schemas.openxmlformats.org/officeDocument/2006/relationships/revisionLog" Target="revisionLog348.xml"/><Relationship Id="rId231" Type="http://schemas.openxmlformats.org/officeDocument/2006/relationships/revisionLog" Target="revisionLog178.xml"/><Relationship Id="rId252" Type="http://schemas.openxmlformats.org/officeDocument/2006/relationships/revisionLog" Target="revisionLog199.xml"/><Relationship Id="rId273" Type="http://schemas.openxmlformats.org/officeDocument/2006/relationships/revisionLog" Target="revisionLog220.xml"/><Relationship Id="rId294" Type="http://schemas.openxmlformats.org/officeDocument/2006/relationships/revisionLog" Target="revisionLog241.xml"/><Relationship Id="rId308" Type="http://schemas.openxmlformats.org/officeDocument/2006/relationships/revisionLog" Target="revisionLog255.xml"/><Relationship Id="rId329" Type="http://schemas.openxmlformats.org/officeDocument/2006/relationships/revisionLog" Target="revisionLog276.xml"/><Relationship Id="rId68" Type="http://schemas.openxmlformats.org/officeDocument/2006/relationships/revisionLog" Target="revisionLog13.xml"/><Relationship Id="rId89" Type="http://schemas.openxmlformats.org/officeDocument/2006/relationships/revisionLog" Target="revisionLog36.xml"/><Relationship Id="rId112" Type="http://schemas.openxmlformats.org/officeDocument/2006/relationships/revisionLog" Target="revisionLog59.xml"/><Relationship Id="rId133" Type="http://schemas.openxmlformats.org/officeDocument/2006/relationships/revisionLog" Target="revisionLog80.xml"/><Relationship Id="rId154" Type="http://schemas.openxmlformats.org/officeDocument/2006/relationships/revisionLog" Target="revisionLog101.xml"/><Relationship Id="rId175" Type="http://schemas.openxmlformats.org/officeDocument/2006/relationships/revisionLog" Target="revisionLog122.xml"/><Relationship Id="rId340" Type="http://schemas.openxmlformats.org/officeDocument/2006/relationships/revisionLog" Target="revisionLog287.xml"/><Relationship Id="rId361" Type="http://schemas.openxmlformats.org/officeDocument/2006/relationships/revisionLog" Target="revisionLog308.xml"/><Relationship Id="rId196" Type="http://schemas.openxmlformats.org/officeDocument/2006/relationships/revisionLog" Target="revisionLog143.xml"/><Relationship Id="rId200" Type="http://schemas.openxmlformats.org/officeDocument/2006/relationships/revisionLog" Target="revisionLog147.xml"/><Relationship Id="rId382" Type="http://schemas.openxmlformats.org/officeDocument/2006/relationships/revisionLog" Target="revisionLog329.xml"/><Relationship Id="rId221" Type="http://schemas.openxmlformats.org/officeDocument/2006/relationships/revisionLog" Target="revisionLog168.xml"/><Relationship Id="rId242" Type="http://schemas.openxmlformats.org/officeDocument/2006/relationships/revisionLog" Target="revisionLog189.xml"/><Relationship Id="rId263" Type="http://schemas.openxmlformats.org/officeDocument/2006/relationships/revisionLog" Target="revisionLog210.xml"/><Relationship Id="rId284" Type="http://schemas.openxmlformats.org/officeDocument/2006/relationships/revisionLog" Target="revisionLog231.xml"/><Relationship Id="rId319" Type="http://schemas.openxmlformats.org/officeDocument/2006/relationships/revisionLog" Target="revisionLog266.xml"/><Relationship Id="rId58" Type="http://schemas.openxmlformats.org/officeDocument/2006/relationships/revisionLog" Target="revisionLog3.xml"/><Relationship Id="rId79" Type="http://schemas.openxmlformats.org/officeDocument/2006/relationships/revisionLog" Target="revisionLog26.xml"/><Relationship Id="rId102" Type="http://schemas.openxmlformats.org/officeDocument/2006/relationships/revisionLog" Target="revisionLog49.xml"/><Relationship Id="rId123" Type="http://schemas.openxmlformats.org/officeDocument/2006/relationships/revisionLog" Target="revisionLog70.xml"/><Relationship Id="rId144" Type="http://schemas.openxmlformats.org/officeDocument/2006/relationships/revisionLog" Target="revisionLog91.xml"/><Relationship Id="rId330" Type="http://schemas.openxmlformats.org/officeDocument/2006/relationships/revisionLog" Target="revisionLog277.xml"/><Relationship Id="rId90" Type="http://schemas.openxmlformats.org/officeDocument/2006/relationships/revisionLog" Target="revisionLog37.xml"/><Relationship Id="rId165" Type="http://schemas.openxmlformats.org/officeDocument/2006/relationships/revisionLog" Target="revisionLog112.xml"/><Relationship Id="rId186" Type="http://schemas.openxmlformats.org/officeDocument/2006/relationships/revisionLog" Target="revisionLog133.xml"/><Relationship Id="rId351" Type="http://schemas.openxmlformats.org/officeDocument/2006/relationships/revisionLog" Target="revisionLog298.xml"/><Relationship Id="rId372" Type="http://schemas.openxmlformats.org/officeDocument/2006/relationships/revisionLog" Target="revisionLog319.xml"/><Relationship Id="rId393" Type="http://schemas.openxmlformats.org/officeDocument/2006/relationships/revisionLog" Target="revisionLog340.xml"/><Relationship Id="rId407" Type="http://schemas.openxmlformats.org/officeDocument/2006/relationships/revisionLog" Target="revisionLog354.xml"/><Relationship Id="rId211" Type="http://schemas.openxmlformats.org/officeDocument/2006/relationships/revisionLog" Target="revisionLog158.xml"/><Relationship Id="rId232" Type="http://schemas.openxmlformats.org/officeDocument/2006/relationships/revisionLog" Target="revisionLog179.xml"/><Relationship Id="rId253" Type="http://schemas.openxmlformats.org/officeDocument/2006/relationships/revisionLog" Target="revisionLog200.xml"/><Relationship Id="rId274" Type="http://schemas.openxmlformats.org/officeDocument/2006/relationships/revisionLog" Target="revisionLog221.xml"/><Relationship Id="rId295" Type="http://schemas.openxmlformats.org/officeDocument/2006/relationships/revisionLog" Target="revisionLog242.xml"/><Relationship Id="rId309" Type="http://schemas.openxmlformats.org/officeDocument/2006/relationships/revisionLog" Target="revisionLog256.xml"/><Relationship Id="rId69" Type="http://schemas.openxmlformats.org/officeDocument/2006/relationships/revisionLog" Target="revisionLog14.xml"/><Relationship Id="rId113" Type="http://schemas.openxmlformats.org/officeDocument/2006/relationships/revisionLog" Target="revisionLog60.xml"/><Relationship Id="rId134" Type="http://schemas.openxmlformats.org/officeDocument/2006/relationships/revisionLog" Target="revisionLog81.xml"/><Relationship Id="rId320" Type="http://schemas.openxmlformats.org/officeDocument/2006/relationships/revisionLog" Target="revisionLog267.xml"/><Relationship Id="rId80" Type="http://schemas.openxmlformats.org/officeDocument/2006/relationships/revisionLog" Target="revisionLog27.xml"/><Relationship Id="rId155" Type="http://schemas.openxmlformats.org/officeDocument/2006/relationships/revisionLog" Target="revisionLog102.xml"/><Relationship Id="rId176" Type="http://schemas.openxmlformats.org/officeDocument/2006/relationships/revisionLog" Target="revisionLog123.xml"/><Relationship Id="rId197" Type="http://schemas.openxmlformats.org/officeDocument/2006/relationships/revisionLog" Target="revisionLog144.xml"/><Relationship Id="rId341" Type="http://schemas.openxmlformats.org/officeDocument/2006/relationships/revisionLog" Target="revisionLog288.xml"/><Relationship Id="rId362" Type="http://schemas.openxmlformats.org/officeDocument/2006/relationships/revisionLog" Target="revisionLog309.xml"/><Relationship Id="rId383" Type="http://schemas.openxmlformats.org/officeDocument/2006/relationships/revisionLog" Target="revisionLog330.xml"/><Relationship Id="rId201" Type="http://schemas.openxmlformats.org/officeDocument/2006/relationships/revisionLog" Target="revisionLog148.xml"/><Relationship Id="rId222" Type="http://schemas.openxmlformats.org/officeDocument/2006/relationships/revisionLog" Target="revisionLog169.xml"/><Relationship Id="rId243" Type="http://schemas.openxmlformats.org/officeDocument/2006/relationships/revisionLog" Target="revisionLog190.xml"/><Relationship Id="rId264" Type="http://schemas.openxmlformats.org/officeDocument/2006/relationships/revisionLog" Target="revisionLog211.xml"/><Relationship Id="rId285" Type="http://schemas.openxmlformats.org/officeDocument/2006/relationships/revisionLog" Target="revisionLog232.xml"/><Relationship Id="rId59" Type="http://schemas.openxmlformats.org/officeDocument/2006/relationships/revisionLog" Target="revisionLog4.xml"/><Relationship Id="rId103" Type="http://schemas.openxmlformats.org/officeDocument/2006/relationships/revisionLog" Target="revisionLog50.xml"/><Relationship Id="rId124" Type="http://schemas.openxmlformats.org/officeDocument/2006/relationships/revisionLog" Target="revisionLog71.xml"/><Relationship Id="rId310" Type="http://schemas.openxmlformats.org/officeDocument/2006/relationships/revisionLog" Target="revisionLog257.xml"/><Relationship Id="rId70" Type="http://schemas.openxmlformats.org/officeDocument/2006/relationships/revisionLog" Target="revisionLog15.xml"/><Relationship Id="rId91" Type="http://schemas.openxmlformats.org/officeDocument/2006/relationships/revisionLog" Target="revisionLog38.xml"/><Relationship Id="rId145" Type="http://schemas.openxmlformats.org/officeDocument/2006/relationships/revisionLog" Target="revisionLog92.xml"/><Relationship Id="rId166" Type="http://schemas.openxmlformats.org/officeDocument/2006/relationships/revisionLog" Target="revisionLog113.xml"/><Relationship Id="rId187" Type="http://schemas.openxmlformats.org/officeDocument/2006/relationships/revisionLog" Target="revisionLog134.xml"/><Relationship Id="rId331" Type="http://schemas.openxmlformats.org/officeDocument/2006/relationships/revisionLog" Target="revisionLog278.xml"/><Relationship Id="rId352" Type="http://schemas.openxmlformats.org/officeDocument/2006/relationships/revisionLog" Target="revisionLog299.xml"/><Relationship Id="rId373" Type="http://schemas.openxmlformats.org/officeDocument/2006/relationships/revisionLog" Target="revisionLog320.xml"/><Relationship Id="rId394" Type="http://schemas.openxmlformats.org/officeDocument/2006/relationships/revisionLog" Target="revisionLog341.xml"/><Relationship Id="rId408" Type="http://schemas.openxmlformats.org/officeDocument/2006/relationships/revisionLog" Target="revisionLog355.xml"/><Relationship Id="rId212" Type="http://schemas.openxmlformats.org/officeDocument/2006/relationships/revisionLog" Target="revisionLog159.xml"/><Relationship Id="rId233" Type="http://schemas.openxmlformats.org/officeDocument/2006/relationships/revisionLog" Target="revisionLog180.xml"/><Relationship Id="rId254" Type="http://schemas.openxmlformats.org/officeDocument/2006/relationships/revisionLog" Target="revisionLog201.xml"/><Relationship Id="rId114" Type="http://schemas.openxmlformats.org/officeDocument/2006/relationships/revisionLog" Target="revisionLog61.xml"/><Relationship Id="rId275" Type="http://schemas.openxmlformats.org/officeDocument/2006/relationships/revisionLog" Target="revisionLog222.xml"/><Relationship Id="rId296" Type="http://schemas.openxmlformats.org/officeDocument/2006/relationships/revisionLog" Target="revisionLog243.xml"/><Relationship Id="rId300" Type="http://schemas.openxmlformats.org/officeDocument/2006/relationships/revisionLog" Target="revisionLog247.xml"/><Relationship Id="rId60" Type="http://schemas.openxmlformats.org/officeDocument/2006/relationships/revisionLog" Target="revisionLog5.xml"/><Relationship Id="rId81" Type="http://schemas.openxmlformats.org/officeDocument/2006/relationships/revisionLog" Target="revisionLog28.xml"/><Relationship Id="rId135" Type="http://schemas.openxmlformats.org/officeDocument/2006/relationships/revisionLog" Target="revisionLog82.xml"/><Relationship Id="rId156" Type="http://schemas.openxmlformats.org/officeDocument/2006/relationships/revisionLog" Target="revisionLog103.xml"/><Relationship Id="rId177" Type="http://schemas.openxmlformats.org/officeDocument/2006/relationships/revisionLog" Target="revisionLog124.xml"/><Relationship Id="rId198" Type="http://schemas.openxmlformats.org/officeDocument/2006/relationships/revisionLog" Target="revisionLog145.xml"/><Relationship Id="rId321" Type="http://schemas.openxmlformats.org/officeDocument/2006/relationships/revisionLog" Target="revisionLog268.xml"/><Relationship Id="rId342" Type="http://schemas.openxmlformats.org/officeDocument/2006/relationships/revisionLog" Target="revisionLog289.xml"/><Relationship Id="rId363" Type="http://schemas.openxmlformats.org/officeDocument/2006/relationships/revisionLog" Target="revisionLog310.xml"/><Relationship Id="rId384" Type="http://schemas.openxmlformats.org/officeDocument/2006/relationships/revisionLog" Target="revisionLog331.xml"/><Relationship Id="rId202" Type="http://schemas.openxmlformats.org/officeDocument/2006/relationships/revisionLog" Target="revisionLog149.xml"/><Relationship Id="rId223" Type="http://schemas.openxmlformats.org/officeDocument/2006/relationships/revisionLog" Target="revisionLog170.xml"/><Relationship Id="rId244" Type="http://schemas.openxmlformats.org/officeDocument/2006/relationships/revisionLog" Target="revisionLog191.xml"/><Relationship Id="rId265" Type="http://schemas.openxmlformats.org/officeDocument/2006/relationships/revisionLog" Target="revisionLog212.xml"/><Relationship Id="rId286" Type="http://schemas.openxmlformats.org/officeDocument/2006/relationships/revisionLog" Target="revisionLog233.xml"/><Relationship Id="rId104" Type="http://schemas.openxmlformats.org/officeDocument/2006/relationships/revisionLog" Target="revisionLog51.xml"/><Relationship Id="rId125" Type="http://schemas.openxmlformats.org/officeDocument/2006/relationships/revisionLog" Target="revisionLog72.xml"/><Relationship Id="rId146" Type="http://schemas.openxmlformats.org/officeDocument/2006/relationships/revisionLog" Target="revisionLog93.xml"/><Relationship Id="rId167" Type="http://schemas.openxmlformats.org/officeDocument/2006/relationships/revisionLog" Target="revisionLog114.xml"/><Relationship Id="rId188" Type="http://schemas.openxmlformats.org/officeDocument/2006/relationships/revisionLog" Target="revisionLog135.xml"/><Relationship Id="rId311" Type="http://schemas.openxmlformats.org/officeDocument/2006/relationships/revisionLog" Target="revisionLog258.xml"/><Relationship Id="rId332" Type="http://schemas.openxmlformats.org/officeDocument/2006/relationships/revisionLog" Target="revisionLog279.xml"/><Relationship Id="rId353" Type="http://schemas.openxmlformats.org/officeDocument/2006/relationships/revisionLog" Target="revisionLog300.xml"/><Relationship Id="rId374" Type="http://schemas.openxmlformats.org/officeDocument/2006/relationships/revisionLog" Target="revisionLog321.xml"/><Relationship Id="rId395" Type="http://schemas.openxmlformats.org/officeDocument/2006/relationships/revisionLog" Target="revisionLog342.xml"/><Relationship Id="rId409" Type="http://schemas.openxmlformats.org/officeDocument/2006/relationships/revisionLog" Target="revisionLog356.xml"/><Relationship Id="rId71" Type="http://schemas.openxmlformats.org/officeDocument/2006/relationships/revisionLog" Target="revisionLog16.xml"/><Relationship Id="rId92" Type="http://schemas.openxmlformats.org/officeDocument/2006/relationships/revisionLog" Target="revisionLog39.xml"/><Relationship Id="rId213" Type="http://schemas.openxmlformats.org/officeDocument/2006/relationships/revisionLog" Target="revisionLog160.xml"/><Relationship Id="rId234" Type="http://schemas.openxmlformats.org/officeDocument/2006/relationships/revisionLog" Target="revisionLog181.xml"/><Relationship Id="rId255" Type="http://schemas.openxmlformats.org/officeDocument/2006/relationships/revisionLog" Target="revisionLog202.xml"/><Relationship Id="rId276" Type="http://schemas.openxmlformats.org/officeDocument/2006/relationships/revisionLog" Target="revisionLog223.xml"/><Relationship Id="rId297" Type="http://schemas.openxmlformats.org/officeDocument/2006/relationships/revisionLog" Target="revisionLog244.xml"/><Relationship Id="rId115" Type="http://schemas.openxmlformats.org/officeDocument/2006/relationships/revisionLog" Target="revisionLog62.xml"/><Relationship Id="rId136" Type="http://schemas.openxmlformats.org/officeDocument/2006/relationships/revisionLog" Target="revisionLog83.xml"/><Relationship Id="rId157" Type="http://schemas.openxmlformats.org/officeDocument/2006/relationships/revisionLog" Target="revisionLog104.xml"/><Relationship Id="rId178" Type="http://schemas.openxmlformats.org/officeDocument/2006/relationships/revisionLog" Target="revisionLog125.xml"/><Relationship Id="rId301" Type="http://schemas.openxmlformats.org/officeDocument/2006/relationships/revisionLog" Target="revisionLog248.xml"/><Relationship Id="rId322" Type="http://schemas.openxmlformats.org/officeDocument/2006/relationships/revisionLog" Target="revisionLog269.xml"/><Relationship Id="rId343" Type="http://schemas.openxmlformats.org/officeDocument/2006/relationships/revisionLog" Target="revisionLog290.xml"/><Relationship Id="rId364" Type="http://schemas.openxmlformats.org/officeDocument/2006/relationships/revisionLog" Target="revisionLog311.xml"/><Relationship Id="rId61" Type="http://schemas.openxmlformats.org/officeDocument/2006/relationships/revisionLog" Target="revisionLog6.xml"/><Relationship Id="rId82" Type="http://schemas.openxmlformats.org/officeDocument/2006/relationships/revisionLog" Target="revisionLog29.xml"/><Relationship Id="rId199" Type="http://schemas.openxmlformats.org/officeDocument/2006/relationships/revisionLog" Target="revisionLog146.xml"/><Relationship Id="rId203" Type="http://schemas.openxmlformats.org/officeDocument/2006/relationships/revisionLog" Target="revisionLog150.xml"/><Relationship Id="rId385" Type="http://schemas.openxmlformats.org/officeDocument/2006/relationships/revisionLog" Target="revisionLog332.xml"/><Relationship Id="rId224" Type="http://schemas.openxmlformats.org/officeDocument/2006/relationships/revisionLog" Target="revisionLog171.xml"/><Relationship Id="rId245" Type="http://schemas.openxmlformats.org/officeDocument/2006/relationships/revisionLog" Target="revisionLog192.xml"/><Relationship Id="rId266" Type="http://schemas.openxmlformats.org/officeDocument/2006/relationships/revisionLog" Target="revisionLog213.xml"/><Relationship Id="rId287" Type="http://schemas.openxmlformats.org/officeDocument/2006/relationships/revisionLog" Target="revisionLog234.xml"/><Relationship Id="rId410" Type="http://schemas.openxmlformats.org/officeDocument/2006/relationships/revisionLog" Target="revisionLog357.xml"/><Relationship Id="rId105" Type="http://schemas.openxmlformats.org/officeDocument/2006/relationships/revisionLog" Target="revisionLog52.xml"/><Relationship Id="rId126" Type="http://schemas.openxmlformats.org/officeDocument/2006/relationships/revisionLog" Target="revisionLog73.xml"/><Relationship Id="rId147" Type="http://schemas.openxmlformats.org/officeDocument/2006/relationships/revisionLog" Target="revisionLog94.xml"/><Relationship Id="rId168" Type="http://schemas.openxmlformats.org/officeDocument/2006/relationships/revisionLog" Target="revisionLog115.xml"/><Relationship Id="rId312" Type="http://schemas.openxmlformats.org/officeDocument/2006/relationships/revisionLog" Target="revisionLog259.xml"/><Relationship Id="rId333" Type="http://schemas.openxmlformats.org/officeDocument/2006/relationships/revisionLog" Target="revisionLog280.xml"/><Relationship Id="rId354" Type="http://schemas.openxmlformats.org/officeDocument/2006/relationships/revisionLog" Target="revisionLog301.xml"/><Relationship Id="rId72" Type="http://schemas.openxmlformats.org/officeDocument/2006/relationships/revisionLog" Target="revisionLog19.xml"/><Relationship Id="rId93" Type="http://schemas.openxmlformats.org/officeDocument/2006/relationships/revisionLog" Target="revisionLog40.xml"/><Relationship Id="rId189" Type="http://schemas.openxmlformats.org/officeDocument/2006/relationships/revisionLog" Target="revisionLog136.xml"/><Relationship Id="rId375" Type="http://schemas.openxmlformats.org/officeDocument/2006/relationships/revisionLog" Target="revisionLog322.xml"/><Relationship Id="rId396" Type="http://schemas.openxmlformats.org/officeDocument/2006/relationships/revisionLog" Target="revisionLog343.xml"/><Relationship Id="rId214" Type="http://schemas.openxmlformats.org/officeDocument/2006/relationships/revisionLog" Target="revisionLog161.xml"/><Relationship Id="rId235" Type="http://schemas.openxmlformats.org/officeDocument/2006/relationships/revisionLog" Target="revisionLog182.xml"/><Relationship Id="rId256" Type="http://schemas.openxmlformats.org/officeDocument/2006/relationships/revisionLog" Target="revisionLog203.xml"/><Relationship Id="rId277" Type="http://schemas.openxmlformats.org/officeDocument/2006/relationships/revisionLog" Target="revisionLog224.xml"/><Relationship Id="rId298" Type="http://schemas.openxmlformats.org/officeDocument/2006/relationships/revisionLog" Target="revisionLog245.xml"/><Relationship Id="rId400" Type="http://schemas.openxmlformats.org/officeDocument/2006/relationships/revisionLog" Target="revisionLog347.xml"/><Relationship Id="rId116" Type="http://schemas.openxmlformats.org/officeDocument/2006/relationships/revisionLog" Target="revisionLog63.xml"/><Relationship Id="rId137" Type="http://schemas.openxmlformats.org/officeDocument/2006/relationships/revisionLog" Target="revisionLog84.xml"/><Relationship Id="rId158" Type="http://schemas.openxmlformats.org/officeDocument/2006/relationships/revisionLog" Target="revisionLog105.xml"/><Relationship Id="rId302" Type="http://schemas.openxmlformats.org/officeDocument/2006/relationships/revisionLog" Target="revisionLog249.xml"/><Relationship Id="rId323" Type="http://schemas.openxmlformats.org/officeDocument/2006/relationships/revisionLog" Target="revisionLog270.xml"/><Relationship Id="rId344" Type="http://schemas.openxmlformats.org/officeDocument/2006/relationships/revisionLog" Target="revisionLog291.xml"/><Relationship Id="rId62" Type="http://schemas.openxmlformats.org/officeDocument/2006/relationships/revisionLog" Target="revisionLog7.xml"/><Relationship Id="rId83" Type="http://schemas.openxmlformats.org/officeDocument/2006/relationships/revisionLog" Target="revisionLog30.xml"/><Relationship Id="rId179" Type="http://schemas.openxmlformats.org/officeDocument/2006/relationships/revisionLog" Target="revisionLog126.xml"/><Relationship Id="rId365" Type="http://schemas.openxmlformats.org/officeDocument/2006/relationships/revisionLog" Target="revisionLog312.xml"/><Relationship Id="rId386" Type="http://schemas.openxmlformats.org/officeDocument/2006/relationships/revisionLog" Target="revisionLog333.xml"/></Relationships>
</file>

<file path=xl/revisions/revisionHeaders.xml><?xml version="1.0" encoding="utf-8"?>
<header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 guid="{5ABDC571-668E-4D97-9005-46EEC812A720}" diskRevisions="1" revisionId="1643" version="411" keepChangeHistory="0">
  <header guid="{74C1CD6F-3A29-438F-9DCD-4B9D46F656CD}" dateTime="2021-10-03T20:37:53" maxSheetId="2" userName="Marcel Riesenbeck" r:id="rId54" minRId="175" maxRId="204">
    <sheetIdMap count="1">
      <sheetId val="1"/>
    </sheetIdMap>
  </header>
  <header guid="{D8E85AB2-27F9-4F7B-BA1D-312EA329817F}" dateTime="2021-10-03T20:38:08" maxSheetId="2" userName="Marcel Riesenbeck" r:id="rId55" minRId="205" maxRId="206">
    <sheetIdMap count="1">
      <sheetId val="1"/>
    </sheetIdMap>
  </header>
  <header guid="{44458783-E517-4A0B-B1B0-1C1057884AC7}" dateTime="2021-10-03T20:39:42" maxSheetId="2" userName="Marcel Riesenbeck" r:id="rId56" minRId="207" maxRId="208">
    <sheetIdMap count="1">
      <sheetId val="1"/>
    </sheetIdMap>
  </header>
  <header guid="{18F0C84A-FB3D-4F78-8B58-4CAF3CC9CE9B}" dateTime="2021-10-03T20:41:27" maxSheetId="2" userName="Marcel Riesenbeck" r:id="rId57" minRId="209" maxRId="210">
    <sheetIdMap count="1">
      <sheetId val="1"/>
    </sheetIdMap>
  </header>
  <header guid="{F43617DF-F4C8-4944-A72B-0DF51B4E664E}" dateTime="2021-10-03T20:43:01" maxSheetId="2" userName="Marcel Riesenbeck" r:id="rId58" minRId="211" maxRId="212">
    <sheetIdMap count="1">
      <sheetId val="1"/>
    </sheetIdMap>
  </header>
  <header guid="{2D5868E4-0161-4A0E-AD0D-D87E7079D286}" dateTime="2021-10-03T20:44:46" maxSheetId="2" userName="Marcel Riesenbeck" r:id="rId59" minRId="213" maxRId="214">
    <sheetIdMap count="1">
      <sheetId val="1"/>
    </sheetIdMap>
  </header>
  <header guid="{C8141758-A694-4095-90E0-F489302B48C7}" dateTime="2021-10-03T20:46:41" maxSheetId="2" userName="Marcel Riesenbeck" r:id="rId60" minRId="215" maxRId="216">
    <sheetIdMap count="1">
      <sheetId val="1"/>
    </sheetIdMap>
  </header>
  <header guid="{4D5D0436-CCD8-4DF8-B295-1502429CA899}" dateTime="2021-10-03T20:48:16" maxSheetId="2" userName="Marcel Riesenbeck" r:id="rId61" minRId="217" maxRId="218">
    <sheetIdMap count="1">
      <sheetId val="1"/>
    </sheetIdMap>
  </header>
  <header guid="{8DEE85D9-E0C6-44B3-A89A-4EE964A20596}" dateTime="2021-10-03T20:49:51" maxSheetId="2" userName="Marcel Riesenbeck" r:id="rId62" minRId="219" maxRId="220">
    <sheetIdMap count="1">
      <sheetId val="1"/>
    </sheetIdMap>
  </header>
  <header guid="{18D6449F-0B60-4326-AF95-4C5373ED2EA1}" dateTime="2021-10-03T20:51:16" maxSheetId="2" userName="Marcel Riesenbeck" r:id="rId63" minRId="221" maxRId="222">
    <sheetIdMap count="1">
      <sheetId val="1"/>
    </sheetIdMap>
  </header>
  <header guid="{30E65077-6227-463E-8E0E-2D5B31BEE9AE}" dateTime="2021-10-03T20:53:21" maxSheetId="2" userName="Marcel Riesenbeck" r:id="rId64" minRId="223" maxRId="224">
    <sheetIdMap count="1">
      <sheetId val="1"/>
    </sheetIdMap>
  </header>
  <header guid="{3E775751-4D60-4886-976A-8F74125146CD}" dateTime="2021-10-03T20:57:17" maxSheetId="2" userName="Marcel Riesenbeck" r:id="rId65" minRId="225" maxRId="226">
    <sheetIdMap count="1">
      <sheetId val="1"/>
    </sheetIdMap>
  </header>
  <header guid="{6AC2BFB0-FA83-4F7B-8AB7-B7D68CEE2634}" dateTime="2021-10-03T21:03:06" maxSheetId="2" userName="Marcel Riesenbeck" r:id="rId66" minRId="227" maxRId="228">
    <sheetIdMap count="1">
      <sheetId val="1"/>
    </sheetIdMap>
  </header>
  <header guid="{075D7D02-988F-4CEA-A960-F29C30DE8994}" dateTime="2021-10-03T21:09:36" maxSheetId="2" userName="Marcel Riesenbeck" r:id="rId67" minRId="229" maxRId="230">
    <sheetIdMap count="1">
      <sheetId val="1"/>
    </sheetIdMap>
  </header>
  <header guid="{68B6BF7E-7B92-40D8-B2DE-05846934BC89}" dateTime="2021-10-03T21:10:49" maxSheetId="2" userName="Marcel Riesenbeck" r:id="rId68" minRId="231" maxRId="232">
    <sheetIdMap count="1">
      <sheetId val="1"/>
    </sheetIdMap>
  </header>
  <header guid="{79D24794-3BC2-4728-ABFF-8580E4FDFC97}" dateTime="2021-10-03T21:11:32" maxSheetId="2" userName="Marcel Riesenbeck" r:id="rId69" minRId="233" maxRId="234">
    <sheetIdMap count="1">
      <sheetId val="1"/>
    </sheetIdMap>
  </header>
  <header guid="{6F22942A-5221-49E6-8304-7D1CC0C01A37}" dateTime="2021-10-03T21:12:57" maxSheetId="2" userName="Marcel Riesenbeck" r:id="rId70" minRId="235" maxRId="236">
    <sheetIdMap count="1">
      <sheetId val="1"/>
    </sheetIdMap>
  </header>
  <header guid="{77C903F6-A3D3-4F46-920E-264221B7F523}" dateTime="2021-10-03T21:15:02" maxSheetId="2" userName="Marcel Riesenbeck" r:id="rId71" minRId="237" maxRId="238">
    <sheetIdMap count="1">
      <sheetId val="1"/>
    </sheetIdMap>
  </header>
  <header guid="{1796876C-E167-4282-94E8-FF60321A9B89}" dateTime="2021-10-03T21:16:36" maxSheetId="2" userName="Marcel Riesenbeck" r:id="rId72" minRId="239" maxRId="240">
    <sheetIdMap count="1">
      <sheetId val="1"/>
    </sheetIdMap>
  </header>
  <header guid="{58B6C1BB-5D00-4012-B7E9-4838779A7EFF}" dateTime="2021-10-03T21:18:00" maxSheetId="2" userName="Marcel Riesenbeck" r:id="rId73" minRId="241" maxRId="242">
    <sheetIdMap count="1">
      <sheetId val="1"/>
    </sheetIdMap>
  </header>
  <header guid="{AC89FB2D-BE33-460B-BA78-30BEA41C639D}" dateTime="2021-10-03T21:19:45" maxSheetId="2" userName="Marcel Riesenbeck" r:id="rId74" minRId="243" maxRId="244">
    <sheetIdMap count="1">
      <sheetId val="1"/>
    </sheetIdMap>
  </header>
  <header guid="{6DAE58B3-CA07-4FD2-A06F-F9874F070626}" dateTime="2021-10-03T21:21:10" maxSheetId="2" userName="Marcel Riesenbeck" r:id="rId75" minRId="245" maxRId="246">
    <sheetIdMap count="1">
      <sheetId val="1"/>
    </sheetIdMap>
  </header>
  <header guid="{D4D62E3A-A16E-49C4-BD93-3A737BF725D6}" dateTime="2021-10-03T21:23:05" maxSheetId="2" userName="Marcel Riesenbeck" r:id="rId76" minRId="247" maxRId="248">
    <sheetIdMap count="1">
      <sheetId val="1"/>
    </sheetIdMap>
  </header>
  <header guid="{10406A35-50C1-4AB1-A4D5-2EE8A9D3EA4A}" dateTime="2021-10-03T21:24:30" maxSheetId="2" userName="Marcel Riesenbeck" r:id="rId77" minRId="249" maxRId="250">
    <sheetIdMap count="1">
      <sheetId val="1"/>
    </sheetIdMap>
  </header>
  <header guid="{1D3FC987-322C-4CF9-B72F-812A195B4004}" dateTime="2021-10-03T21:25:54" maxSheetId="2" userName="Marcel Riesenbeck" r:id="rId78" minRId="251" maxRId="252">
    <sheetIdMap count="1">
      <sheetId val="1"/>
    </sheetIdMap>
  </header>
  <header guid="{D5D1C925-96B4-4C4C-BC24-264D7A23152A}" dateTime="2021-10-03T21:27:18" maxSheetId="2" userName="Marcel Riesenbeck" r:id="rId79" minRId="253" maxRId="254">
    <sheetIdMap count="1">
      <sheetId val="1"/>
    </sheetIdMap>
  </header>
  <header guid="{48C0CA01-E0DA-4513-A7B8-6722553B85EC}" dateTime="2021-10-03T21:28:32" maxSheetId="2" userName="Marcel Riesenbeck" r:id="rId80" minRId="255" maxRId="256">
    <sheetIdMap count="1">
      <sheetId val="1"/>
    </sheetIdMap>
  </header>
  <header guid="{C9A9152E-AE5B-41A6-942A-FEE095E69746}" dateTime="2021-10-03T21:29:37" maxSheetId="2" userName="Marcel Riesenbeck" r:id="rId81" minRId="257" maxRId="258">
    <sheetIdMap count="1">
      <sheetId val="1"/>
    </sheetIdMap>
  </header>
  <header guid="{7C787086-2B3C-47F6-A601-68D313ECD24C}" dateTime="2021-10-03T21:31:01" maxSheetId="2" userName="Marcel Riesenbeck" r:id="rId82" minRId="259" maxRId="260">
    <sheetIdMap count="1">
      <sheetId val="1"/>
    </sheetIdMap>
  </header>
  <header guid="{3DD39421-7355-4232-A1F0-6AB2C058AC2D}" dateTime="2021-10-03T21:31:55" maxSheetId="2" userName="Marcel Riesenbeck" r:id="rId83" minRId="261" maxRId="262">
    <sheetIdMap count="1">
      <sheetId val="1"/>
    </sheetIdMap>
  </header>
  <header guid="{48D5BAA5-3CB7-462D-BEA7-0D99F5915DF5}" dateTime="2021-10-03T21:33:09" maxSheetId="2" userName="Marcel Riesenbeck" r:id="rId84" minRId="263" maxRId="264">
    <sheetIdMap count="1">
      <sheetId val="1"/>
    </sheetIdMap>
  </header>
  <header guid="{5E2A6F9F-7B31-4A82-8104-5F685652061F}" dateTime="2021-10-03T21:34:14" maxSheetId="2" userName="Marcel Riesenbeck" r:id="rId85" minRId="265" maxRId="266">
    <sheetIdMap count="1">
      <sheetId val="1"/>
    </sheetIdMap>
  </header>
  <header guid="{2CEC5040-B72B-4245-A3B0-91A22B912709}" dateTime="2021-10-03T21:35:17" maxSheetId="2" userName="Marcel Riesenbeck" r:id="rId86" minRId="267" maxRId="268">
    <sheetIdMap count="1">
      <sheetId val="1"/>
    </sheetIdMap>
  </header>
  <header guid="{C720077D-2C62-40D8-A125-BAF2A4F8F472}" dateTime="2021-10-03T21:36:22" maxSheetId="2" userName="Marcel Riesenbeck" r:id="rId87" minRId="269" maxRId="270">
    <sheetIdMap count="1">
      <sheetId val="1"/>
    </sheetIdMap>
  </header>
  <header guid="{70CE0098-2D1E-4E22-BF6D-135E1304DAEF}" dateTime="2021-10-03T21:37:26" maxSheetId="2" userName="Marcel Riesenbeck" r:id="rId88" minRId="271" maxRId="272">
    <sheetIdMap count="1">
      <sheetId val="1"/>
    </sheetIdMap>
  </header>
  <header guid="{CB0282CE-85D0-4C40-98B7-F70D100C5915}" dateTime="2021-10-03T21:38:20" maxSheetId="2" userName="Marcel Riesenbeck" r:id="rId89" minRId="273" maxRId="274">
    <sheetIdMap count="1">
      <sheetId val="1"/>
    </sheetIdMap>
  </header>
  <header guid="{374FC079-0FEB-4CFB-8414-CC104692CC87}" dateTime="2021-10-03T21:39:34" maxSheetId="2" userName="Marcel Riesenbeck" r:id="rId90" minRId="275" maxRId="276">
    <sheetIdMap count="1">
      <sheetId val="1"/>
    </sheetIdMap>
  </header>
  <header guid="{AFDF1EA0-767C-4EEB-8E59-45B19D497F89}" dateTime="2021-10-03T21:40:28" maxSheetId="2" userName="Marcel Riesenbeck" r:id="rId91" minRId="277" maxRId="278">
    <sheetIdMap count="1">
      <sheetId val="1"/>
    </sheetIdMap>
  </header>
  <header guid="{6821970A-1197-4242-A6EE-37C599FA7151}" dateTime="2021-10-03T21:41:32" maxSheetId="2" userName="Marcel Riesenbeck" r:id="rId92" minRId="279" maxRId="280">
    <sheetIdMap count="1">
      <sheetId val="1"/>
    </sheetIdMap>
  </header>
  <header guid="{E766D3F9-68C4-4AC0-AD0C-35766944E5B0}" dateTime="2021-10-03T21:42:36" maxSheetId="2" userName="Marcel Riesenbeck" r:id="rId93" minRId="281" maxRId="282">
    <sheetIdMap count="1">
      <sheetId val="1"/>
    </sheetIdMap>
  </header>
  <header guid="{C96AEA7C-BA9F-4353-A24D-F580DC5C55D8}" dateTime="2021-10-03T21:43:39" maxSheetId="2" userName="Marcel Riesenbeck" r:id="rId94" minRId="283" maxRId="284">
    <sheetIdMap count="1">
      <sheetId val="1"/>
    </sheetIdMap>
  </header>
  <header guid="{3B02D42C-045D-4E2A-AF9F-DFE70B0B922A}" dateTime="2021-10-03T21:46:47" maxSheetId="2" userName="Marcel Riesenbeck" r:id="rId95" minRId="285" maxRId="286">
    <sheetIdMap count="1">
      <sheetId val="1"/>
    </sheetIdMap>
  </header>
  <header guid="{C7C8D792-8D76-4565-82FA-85442250C22E}" dateTime="2021-10-03T21:47:21" maxSheetId="2" userName="Marcel Riesenbeck" r:id="rId96" minRId="287" maxRId="288">
    <sheetIdMap count="1">
      <sheetId val="1"/>
    </sheetIdMap>
  </header>
  <header guid="{EEC0D83C-B831-437F-B171-304196931076}" dateTime="2021-10-03T21:47:43" maxSheetId="2" userName="Marcel Riesenbeck" r:id="rId97" minRId="289" maxRId="290">
    <sheetIdMap count="1">
      <sheetId val="1"/>
    </sheetIdMap>
  </header>
  <header guid="{755F8F70-26AC-4338-9CB1-9A4D96891885}" dateTime="2021-10-03T21:48:27" maxSheetId="2" userName="Marcel Riesenbeck" r:id="rId98" minRId="291" maxRId="292">
    <sheetIdMap count="1">
      <sheetId val="1"/>
    </sheetIdMap>
  </header>
  <header guid="{6B37D027-E710-49FD-9001-E1EF7FD6A4B6}" dateTime="2021-10-03T21:49:11" maxSheetId="2" userName="Marcel Riesenbeck" r:id="rId99" minRId="293" maxRId="294">
    <sheetIdMap count="1">
      <sheetId val="1"/>
    </sheetIdMap>
  </header>
  <header guid="{9F3EB869-7759-4C7F-A328-7333E1A6DEF0}" dateTime="2021-10-03T21:49:54" maxSheetId="2" userName="Marcel Riesenbeck" r:id="rId100" minRId="295" maxRId="296">
    <sheetIdMap count="1">
      <sheetId val="1"/>
    </sheetIdMap>
  </header>
  <header guid="{15239301-6E51-4D8A-AD9A-AEA8288E389A}" dateTime="2021-10-03T21:50:38" maxSheetId="2" userName="Marcel Riesenbeck" r:id="rId101" minRId="297" maxRId="298">
    <sheetIdMap count="1">
      <sheetId val="1"/>
    </sheetIdMap>
  </header>
  <header guid="{90193EBB-572F-4E6F-AA12-79E2AA15DBD7}" dateTime="2021-10-03T21:51:21" maxSheetId="2" userName="Marcel Riesenbeck" r:id="rId102" minRId="299" maxRId="300">
    <sheetIdMap count="1">
      <sheetId val="1"/>
    </sheetIdMap>
  </header>
  <header guid="{19927E2D-C5EC-4180-8D07-1D37F7E899CB}" dateTime="2021-10-03T21:52:04" maxSheetId="2" userName="Marcel Riesenbeck" r:id="rId103" minRId="301" maxRId="302">
    <sheetIdMap count="1">
      <sheetId val="1"/>
    </sheetIdMap>
  </header>
  <header guid="{B09216DA-DF8E-4D25-8C0E-1CDD40AC762D}" dateTime="2021-10-03T21:52:47" maxSheetId="2" userName="Marcel Riesenbeck" r:id="rId104" minRId="303" maxRId="304">
    <sheetIdMap count="1">
      <sheetId val="1"/>
    </sheetIdMap>
  </header>
  <header guid="{4A7B254E-915E-4A85-8466-8AA2420BDE66}" dateTime="2021-10-03T21:53:31" maxSheetId="2" userName="Marcel Riesenbeck" r:id="rId105" minRId="305" maxRId="306">
    <sheetIdMap count="1">
      <sheetId val="1"/>
    </sheetIdMap>
  </header>
  <header guid="{32858712-D5AF-4659-A2BB-81A8D1A9FEFC}" dateTime="2021-10-03T21:53:44" maxSheetId="2" userName="Marcel Riesenbeck" r:id="rId106" minRId="307" maxRId="308">
    <sheetIdMap count="1">
      <sheetId val="1"/>
    </sheetIdMap>
  </header>
  <header guid="{FBD06CEE-ED91-4B13-8A98-5900495EBA92}" dateTime="2021-10-03T21:54:17" maxSheetId="2" userName="Marcel Riesenbeck" r:id="rId107" minRId="309" maxRId="310">
    <sheetIdMap count="1">
      <sheetId val="1"/>
    </sheetIdMap>
  </header>
  <header guid="{64B154D8-99F0-4AF5-B017-8EDCFD65AFF3}" dateTime="2021-10-03T21:56:24" maxSheetId="2" userName="Marcel Riesenbeck" r:id="rId108" minRId="311" maxRId="312">
    <sheetIdMap count="1">
      <sheetId val="1"/>
    </sheetIdMap>
  </header>
  <header guid="{6D612E70-F8B3-4AD9-BF0F-16E8B2779D7B}" dateTime="2021-10-03T21:57:08" maxSheetId="2" userName="Marcel Riesenbeck" r:id="rId109" minRId="313" maxRId="314">
    <sheetIdMap count="1">
      <sheetId val="1"/>
    </sheetIdMap>
  </header>
  <header guid="{2BCC365D-7FA0-41E2-8980-A8F832AE95F9}" dateTime="2021-10-03T21:57:41" maxSheetId="2" userName="Marcel Riesenbeck" r:id="rId110" minRId="315" maxRId="316">
    <sheetIdMap count="1">
      <sheetId val="1"/>
    </sheetIdMap>
  </header>
  <header guid="{AEA2815F-1FD6-41DE-824D-41923D4D0022}" dateTime="2021-10-03T21:58:04" maxSheetId="2" userName="Marcel Riesenbeck" r:id="rId111" minRId="317" maxRId="318">
    <sheetIdMap count="1">
      <sheetId val="1"/>
    </sheetIdMap>
  </header>
  <header guid="{46984057-8E37-4078-961B-C12A990FB81E}" dateTime="2021-10-03T21:58:48" maxSheetId="2" userName="Marcel Riesenbeck" r:id="rId112" minRId="319" maxRId="320">
    <sheetIdMap count="1">
      <sheetId val="1"/>
    </sheetIdMap>
  </header>
  <header guid="{397A48F1-E29E-4BD1-9605-62E96E515AAD}" dateTime="2021-10-03T21:59:21" maxSheetId="2" userName="Marcel Riesenbeck" r:id="rId113" minRId="321" maxRId="322">
    <sheetIdMap count="1">
      <sheetId val="1"/>
    </sheetIdMap>
  </header>
  <header guid="{E608A081-0F9E-4049-9D30-49D2043B1471}" dateTime="2021-10-03T21:59:34" maxSheetId="2" userName="Marcel Riesenbeck" r:id="rId114" minRId="323" maxRId="324">
    <sheetIdMap count="1">
      <sheetId val="1"/>
    </sheetIdMap>
  </header>
  <header guid="{B1951456-C22C-4348-8EF0-EF8008CD42E6}" dateTime="2021-10-03T22:00:18" maxSheetId="2" userName="Marcel Riesenbeck" r:id="rId115" minRId="325" maxRId="326">
    <sheetIdMap count="1">
      <sheetId val="1"/>
    </sheetIdMap>
  </header>
  <header guid="{2B93E8EE-B83D-485A-AAF3-50AEFA297B55}" dateTime="2021-10-03T22:01:01" maxSheetId="2" userName="Marcel Riesenbeck" r:id="rId116" minRId="327" maxRId="328">
    <sheetIdMap count="1">
      <sheetId val="1"/>
    </sheetIdMap>
  </header>
  <header guid="{9BFCEB4B-A5BB-4DFF-B2BE-F0B5F884956F}" dateTime="2021-10-03T22:01:45" maxSheetId="2" userName="Marcel Riesenbeck" r:id="rId117" minRId="329" maxRId="330">
    <sheetIdMap count="1">
      <sheetId val="1"/>
    </sheetIdMap>
  </header>
  <header guid="{1796ACB0-2A3C-48A2-92B8-F5043A36CFF1}" dateTime="2021-10-03T22:01:57" maxSheetId="2" userName="Marcel Riesenbeck" r:id="rId118" minRId="331" maxRId="332">
    <sheetIdMap count="1">
      <sheetId val="1"/>
    </sheetIdMap>
  </header>
  <header guid="{DA392D20-202A-4A6B-BCE9-8019656DE791}" dateTime="2021-10-03T22:25:51" maxSheetId="2" userName="Marcel Riesenbeck" r:id="rId119" minRId="333" maxRId="334">
    <sheetIdMap count="1">
      <sheetId val="1"/>
    </sheetIdMap>
  </header>
  <header guid="{F304279A-03F1-49A1-A3F3-A4B7502319C3}" dateTime="2021-10-03T22:29:00" maxSheetId="2" userName="Marcel Riesenbeck" r:id="rId120" minRId="335" maxRId="336">
    <sheetIdMap count="1">
      <sheetId val="1"/>
    </sheetIdMap>
  </header>
  <header guid="{3531F80A-215F-4FC8-9F95-3F2C526753AA}" dateTime="2021-10-03T22:29:14" maxSheetId="2" userName="Marcel Riesenbeck" r:id="rId121" minRId="337" maxRId="338">
    <sheetIdMap count="1">
      <sheetId val="1"/>
    </sheetIdMap>
  </header>
  <header guid="{8743DC55-0F6D-4180-8B84-21D96ED73F8B}" dateTime="2021-10-03T22:29:38" maxSheetId="2" userName="Marcel Riesenbeck" r:id="rId122" minRId="339" maxRId="340">
    <sheetIdMap count="1">
      <sheetId val="1"/>
    </sheetIdMap>
  </header>
  <header guid="{7E1E1D62-7951-4536-92F5-C9B7732852F6}" dateTime="2021-10-03T22:38:15" maxSheetId="2" userName="Marcel Riesenbeck" r:id="rId123" minRId="341" maxRId="342">
    <sheetIdMap count="1">
      <sheetId val="1"/>
    </sheetIdMap>
  </header>
  <header guid="{6106F096-4FB9-4F6B-AF48-C9F8895A66B0}" dateTime="2021-10-03T22:39:21" maxSheetId="2" userName="Marcel Riesenbeck" r:id="rId124" minRId="343" maxRId="344">
    <sheetIdMap count="1">
      <sheetId val="1"/>
    </sheetIdMap>
  </header>
  <header guid="{AE92FFDC-A829-4FB4-8AF2-A41743D7FEA0}" dateTime="2021-10-03T22:40:27" maxSheetId="2" userName="Marcel Riesenbeck" r:id="rId125" minRId="345" maxRId="346">
    <sheetIdMap count="1">
      <sheetId val="1"/>
    </sheetIdMap>
  </header>
  <header guid="{45F6A299-B2B9-4DE0-9E22-71E7ECA3BF39}" dateTime="2021-10-03T22:41:02" maxSheetId="2" userName="Marcel Riesenbeck" r:id="rId126" minRId="347" maxRId="348">
    <sheetIdMap count="1">
      <sheetId val="1"/>
    </sheetIdMap>
  </header>
  <header guid="{D5FA2D6A-9823-4811-A216-6F3E6EA7EF78}" dateTime="2021-10-03T22:41:25" maxSheetId="2" userName="Marcel Riesenbeck" r:id="rId127" minRId="349" maxRId="350">
    <sheetIdMap count="1">
      <sheetId val="1"/>
    </sheetIdMap>
  </header>
  <header guid="{5A3B21B5-3D90-4DAF-B906-AC31B58B48CC}" dateTime="2021-10-03T22:42:00" maxSheetId="2" userName="Marcel Riesenbeck" r:id="rId128" minRId="351" maxRId="352">
    <sheetIdMap count="1">
      <sheetId val="1"/>
    </sheetIdMap>
  </header>
  <header guid="{94B73F6D-BA04-4801-BC0E-C049C8BD34F5}" dateTime="2021-10-03T22:42:24" maxSheetId="2" userName="Marcel Riesenbeck" r:id="rId129" minRId="353" maxRId="354">
    <sheetIdMap count="1">
      <sheetId val="1"/>
    </sheetIdMap>
  </header>
  <header guid="{BFE7D9DC-46A1-44FE-9FB0-EA92B85A45A6}" dateTime="2021-10-03T22:44:00" maxSheetId="2" userName="Marcel Riesenbeck" r:id="rId130" minRId="355" maxRId="356">
    <sheetIdMap count="1">
      <sheetId val="1"/>
    </sheetIdMap>
  </header>
  <header guid="{72B91FC6-7240-402E-9770-919594DB1723}" dateTime="2021-10-03T22:44:45" maxSheetId="2" userName="Marcel Riesenbeck" r:id="rId131" minRId="357" maxRId="358">
    <sheetIdMap count="1">
      <sheetId val="1"/>
    </sheetIdMap>
  </header>
  <header guid="{41ACB732-576E-4695-A34E-049BC52103AC}" dateTime="2021-10-03T22:48:27" maxSheetId="2" userName="Marcel Riesenbeck" r:id="rId132" minRId="359" maxRId="360">
    <sheetIdMap count="1">
      <sheetId val="1"/>
    </sheetIdMap>
  </header>
  <header guid="{EC26E34D-128C-453D-B5AF-6C4B6B75AC12}" dateTime="2021-10-03T22:54:37" maxSheetId="2" userName="Marcel Riesenbeck" r:id="rId133" minRId="361" maxRId="362">
    <sheetIdMap count="1">
      <sheetId val="1"/>
    </sheetIdMap>
  </header>
  <header guid="{CA3594A7-4FCC-42BC-B45E-24C1CCD0FB8E}" dateTime="2021-10-03T22:54:51" maxSheetId="2" userName="Marcel Riesenbeck" r:id="rId134" minRId="363" maxRId="364">
    <sheetIdMap count="1">
      <sheetId val="1"/>
    </sheetIdMap>
  </header>
  <header guid="{A2F93AD5-B85E-475E-A90C-606D150AB881}" dateTime="2021-10-03T23:09:07" maxSheetId="2" userName="Marcel Riesenbeck" r:id="rId135" minRId="365" maxRId="366">
    <sheetIdMap count="1">
      <sheetId val="1"/>
    </sheetIdMap>
  </header>
  <header guid="{7FFA170D-00C7-4CDF-9CB8-2D6E9B20F51C}" dateTime="2021-10-03T23:27:19" maxSheetId="2" userName="Marcel Riesenbeck" r:id="rId136" minRId="367" maxRId="368">
    <sheetIdMap count="1">
      <sheetId val="1"/>
    </sheetIdMap>
  </header>
  <header guid="{A5B3B4F8-2AEF-458E-9FB9-AE69B81CEC74}" dateTime="2021-10-03T23:28:56" maxSheetId="2" userName="Marcel Riesenbeck" r:id="rId137" minRId="369" maxRId="370">
    <sheetIdMap count="1">
      <sheetId val="1"/>
    </sheetIdMap>
  </header>
  <header guid="{62D387AC-7217-4A78-8419-E0F7754A96B1}" dateTime="2021-10-03T23:34:55" maxSheetId="2" userName="Marcel Riesenbeck" r:id="rId138" minRId="371" maxRId="372">
    <sheetIdMap count="1">
      <sheetId val="1"/>
    </sheetIdMap>
  </header>
  <header guid="{D5845A1E-0DD2-4C7F-B0E2-F908071589E0}" dateTime="2021-10-03T23:43:18" maxSheetId="2" userName="Marcel Riesenbeck" r:id="rId139" minRId="373" maxRId="374">
    <sheetIdMap count="1">
      <sheetId val="1"/>
    </sheetIdMap>
  </header>
  <header guid="{2A2A5CB8-E052-4F6C-8214-EAD849FCD8F3}" dateTime="2021-10-03T23:44:03" maxSheetId="2" userName="Marcel Riesenbeck" r:id="rId140" minRId="375" maxRId="376">
    <sheetIdMap count="1">
      <sheetId val="1"/>
    </sheetIdMap>
  </header>
  <header guid="{0D543F3C-28B0-49AB-A06F-249D1AC09D45}" dateTime="2021-10-03T23:47:14" maxSheetId="2" userName="Marcel Riesenbeck" r:id="rId141" minRId="377" maxRId="378">
    <sheetIdMap count="1">
      <sheetId val="1"/>
    </sheetIdMap>
  </header>
  <header guid="{B79E8E8F-9034-44AE-97C4-5572AFE77D36}" dateTime="2021-10-03T23:53:10" maxSheetId="2" userName="Marcel Riesenbeck" r:id="rId142" minRId="379" maxRId="380">
    <sheetIdMap count="1">
      <sheetId val="1"/>
    </sheetIdMap>
  </header>
  <header guid="{04EDAEDC-BD4F-4888-AC95-CBBA2F9C38F5}" dateTime="2021-10-03T23:59:29" maxSheetId="2" userName="Marcel Riesenbeck" r:id="rId143" minRId="381" maxRId="382">
    <sheetIdMap count="1">
      <sheetId val="1"/>
    </sheetIdMap>
  </header>
  <header guid="{243C9E55-4910-49C9-A36E-9D462418E8B6}" dateTime="2021-10-03T23:59:43" maxSheetId="2" userName="Marcel Riesenbeck" r:id="rId144" minRId="383" maxRId="384">
    <sheetIdMap count="1">
      <sheetId val="1"/>
    </sheetIdMap>
  </header>
  <header guid="{AAF95990-A2FA-4820-8913-A9DCCF29E680}" dateTime="2021-10-04T00:13:28" maxSheetId="2" userName="Marcel Riesenbeck" r:id="rId145" minRId="385" maxRId="386">
    <sheetIdMap count="1">
      <sheetId val="1"/>
    </sheetIdMap>
  </header>
  <header guid="{A0A76882-AAC4-4992-8B39-C457EED73B80}" dateTime="2021-10-04T00:16:19" maxSheetId="2" userName="Marcel Riesenbeck" r:id="rId146" minRId="387" maxRId="388">
    <sheetIdMap count="1">
      <sheetId val="1"/>
    </sheetIdMap>
  </header>
  <header guid="{67579587-2866-4A3C-9071-37B8DF5144B1}" dateTime="2021-10-04T00:20:54" maxSheetId="2" userName="Marcel Riesenbeck" r:id="rId147" minRId="389" maxRId="390">
    <sheetIdMap count="1">
      <sheetId val="1"/>
    </sheetIdMap>
  </header>
  <header guid="{8B139FC0-B13F-42E7-AE7C-6FBC274DC166}" dateTime="2021-10-04T00:26:08" maxSheetId="2" userName="Marcel Riesenbeck" r:id="rId148" minRId="391" maxRId="392">
    <sheetIdMap count="1">
      <sheetId val="1"/>
    </sheetIdMap>
  </header>
  <header guid="{7A840AAC-B895-4481-B516-B4762AA4CBFA}" dateTime="2021-10-04T00:37:01" maxSheetId="2" userName="Marcel Riesenbeck" r:id="rId149" minRId="393" maxRId="394">
    <sheetIdMap count="1">
      <sheetId val="1"/>
    </sheetIdMap>
  </header>
  <header guid="{647FF86C-238C-4D5D-A1A3-F2FE9C3598DD}" dateTime="2021-10-04T00:39:09" maxSheetId="2" userName="Marcel Riesenbeck" r:id="rId150" minRId="395" maxRId="396">
    <sheetIdMap count="1">
      <sheetId val="1"/>
    </sheetIdMap>
  </header>
  <header guid="{4B93FEF1-FD1F-4DEB-B8DE-750B1F716F26}" dateTime="2021-10-04T00:39:23" maxSheetId="2" userName="Marcel Riesenbeck" r:id="rId151" minRId="397" maxRId="398">
    <sheetIdMap count="1">
      <sheetId val="1"/>
    </sheetIdMap>
  </header>
  <header guid="{7D6D8A56-8CE0-4993-854B-D03019F29917}" dateTime="2021-10-04T00:40:08" maxSheetId="2" userName="Marcel Riesenbeck" r:id="rId152" minRId="399" maxRId="400">
    <sheetIdMap count="1">
      <sheetId val="1"/>
    </sheetIdMap>
  </header>
  <header guid="{00F3F5C0-1806-46BF-B9E1-C0EF718BC055}" dateTime="2021-10-04T00:40:53" maxSheetId="2" userName="Marcel Riesenbeck" r:id="rId153" minRId="401" maxRId="402">
    <sheetIdMap count="1">
      <sheetId val="1"/>
    </sheetIdMap>
  </header>
  <header guid="{653533D8-568F-4056-99CB-5D601113FCEF}" dateTime="2021-10-04T00:57:31" maxSheetId="2" userName="Marcel Riesenbeck" r:id="rId154" minRId="403" maxRId="404">
    <sheetIdMap count="1">
      <sheetId val="1"/>
    </sheetIdMap>
  </header>
  <header guid="{03D9BA7E-055C-468E-96AE-520AFF8B06AB}" dateTime="2021-10-04T01:04:53" maxSheetId="2" userName="Marcel Riesenbeck" r:id="rId155" minRId="405" maxRId="406">
    <sheetIdMap count="1">
      <sheetId val="1"/>
    </sheetIdMap>
  </header>
  <header guid="{391E20DA-1AD1-4164-8893-A70A682492E7}" dateTime="2021-10-04T01:08:47" maxSheetId="2" userName="Marcel Riesenbeck" r:id="rId156" minRId="407" maxRId="408">
    <sheetIdMap count="1">
      <sheetId val="1"/>
    </sheetIdMap>
  </header>
  <header guid="{B6EE62B1-BAD4-4A49-93F4-A7B07616F09C}" dateTime="2021-10-04T01:13:52" maxSheetId="2" userName="Marcel Riesenbeck" r:id="rId157" minRId="409" maxRId="410">
    <sheetIdMap count="1">
      <sheetId val="1"/>
    </sheetIdMap>
  </header>
  <header guid="{D52B2F32-E06E-4CC7-980D-66F511691D2C}" dateTime="2021-10-04T01:14:59" maxSheetId="2" userName="Marcel Riesenbeck" r:id="rId158" minRId="411" maxRId="412">
    <sheetIdMap count="1">
      <sheetId val="1"/>
    </sheetIdMap>
  </header>
  <header guid="{D6458E56-E788-47AB-AFAB-C3CE6C56AF35}" dateTime="2021-10-04T01:18:42" maxSheetId="2" userName="Marcel Riesenbeck" r:id="rId159" minRId="413" maxRId="414">
    <sheetIdMap count="1">
      <sheetId val="1"/>
    </sheetIdMap>
  </header>
  <header guid="{37ABA546-85A5-46DF-8B93-552C5B659464}" dateTime="2021-10-04T01:29:01" maxSheetId="2" userName="Marcel Riesenbeck" r:id="rId160" minRId="415" maxRId="416">
    <sheetIdMap count="1">
      <sheetId val="1"/>
    </sheetIdMap>
  </header>
  <header guid="{ACC949D6-32C4-4110-95FB-293B3359B07C}" dateTime="2021-10-04T01:34:28" maxSheetId="2" userName="Marcel Riesenbeck" r:id="rId161" minRId="417" maxRId="418">
    <sheetIdMap count="1">
      <sheetId val="1"/>
    </sheetIdMap>
  </header>
  <header guid="{4B7C0D35-FA0E-4AD2-88C0-E3736F98CA10}" dateTime="2021-10-04T01:46:51" maxSheetId="2" userName="Marcel Riesenbeck" r:id="rId162" minRId="419" maxRId="420">
    <sheetIdMap count="1">
      <sheetId val="1"/>
    </sheetIdMap>
  </header>
  <header guid="{7473CF83-4755-45C0-93BD-D35DCDA07358}" dateTime="2021-10-04T02:08:09" maxSheetId="2" userName="Marcel Riesenbeck" r:id="rId163" minRId="421" maxRId="422">
    <sheetIdMap count="1">
      <sheetId val="1"/>
    </sheetIdMap>
  </header>
  <header guid="{0891BD74-6FCE-4C05-BB8A-08856DE4DC1C}" dateTime="2021-10-04T02:14:29" maxSheetId="2" userName="Marcel Riesenbeck" r:id="rId164" minRId="423" maxRId="424">
    <sheetIdMap count="1">
      <sheetId val="1"/>
    </sheetIdMap>
  </header>
  <header guid="{DA22434D-F3E3-4823-8C05-5C0D9153C068}" dateTime="2021-10-04T02:17:00" maxSheetId="2" userName="Marcel Riesenbeck" r:id="rId165" minRId="425" maxRId="426">
    <sheetIdMap count="1">
      <sheetId val="1"/>
    </sheetIdMap>
  </header>
  <header guid="{E673CEE6-F920-4BD5-9003-19AE10BE265E}" dateTime="2021-10-04T02:28:52" maxSheetId="2" userName="Marcel Riesenbeck" r:id="rId166" minRId="427" maxRId="428">
    <sheetIdMap count="1">
      <sheetId val="1"/>
    </sheetIdMap>
  </header>
  <header guid="{4492D092-BD37-423B-AAC9-A78D07287F7C}" dateTime="2021-10-04T02:30:29" maxSheetId="2" userName="Marcel Riesenbeck" r:id="rId167" minRId="429" maxRId="430">
    <sheetIdMap count="1">
      <sheetId val="1"/>
    </sheetIdMap>
  </header>
  <header guid="{E2D42832-0DC5-45EF-BBB2-F16C75CCBCED}" dateTime="2021-10-04T02:31:36" maxSheetId="2" userName="Marcel Riesenbeck" r:id="rId168" minRId="431" maxRId="432">
    <sheetIdMap count="1">
      <sheetId val="1"/>
    </sheetIdMap>
  </header>
  <header guid="{F5C4E584-FEEC-49F4-B3DF-ACFE61D5BCA8}" dateTime="2021-10-04T02:34:06" maxSheetId="2" userName="Marcel Riesenbeck" r:id="rId169" minRId="433" maxRId="434">
    <sheetIdMap count="1">
      <sheetId val="1"/>
    </sheetIdMap>
  </header>
  <header guid="{122920FF-34CC-4E5E-9C5A-13CAA243B21A}" dateTime="2021-10-04T02:40:43" maxSheetId="2" userName="Marcel Riesenbeck" r:id="rId170" minRId="435" maxRId="436">
    <sheetIdMap count="1">
      <sheetId val="1"/>
    </sheetIdMap>
  </header>
  <header guid="{2814E98A-BC52-497A-B392-5E2B3FE9B620}" dateTime="2021-10-04T02:41:50" maxSheetId="2" userName="Marcel Riesenbeck" r:id="rId171" minRId="437" maxRId="438">
    <sheetIdMap count="1">
      <sheetId val="1"/>
    </sheetIdMap>
  </header>
  <header guid="{BB515CFA-9DCF-4013-89DE-84EF6ABCD37E}" dateTime="2021-10-04T02:45:11" maxSheetId="2" userName="Marcel Riesenbeck" r:id="rId172" minRId="439" maxRId="440">
    <sheetIdMap count="1">
      <sheetId val="1"/>
    </sheetIdMap>
  </header>
  <header guid="{C4DC8866-99D8-4784-A212-75A392783503}" dateTime="2021-10-04T02:55:36" maxSheetId="2" userName="Marcel Riesenbeck" r:id="rId173" minRId="441" maxRId="442">
    <sheetIdMap count="1">
      <sheetId val="1"/>
    </sheetIdMap>
  </header>
  <header guid="{DF4F9F4F-DCC9-496E-94DB-38148B0004E3}" dateTime="2021-10-05T22:25:24" maxSheetId="2" userName="Marcel Riesenbeck" r:id="rId174" minRId="443" maxRId="444">
    <sheetIdMap count="1">
      <sheetId val="1"/>
    </sheetIdMap>
  </header>
  <header guid="{AE62436A-D704-46C2-8313-4742A1902865}" dateTime="2021-10-05T22:25:38" maxSheetId="2" userName="Marcel Riesenbeck" r:id="rId175" minRId="445" maxRId="446">
    <sheetIdMap count="1">
      <sheetId val="1"/>
    </sheetIdMap>
  </header>
  <header guid="{7121DB3F-EA8C-47F1-B25A-BD4257E1AA6A}" dateTime="2021-10-05T22:26:24" maxSheetId="2" userName="Marcel Riesenbeck" r:id="rId176" minRId="447" maxRId="448">
    <sheetIdMap count="1">
      <sheetId val="1"/>
    </sheetIdMap>
  </header>
  <header guid="{FC53B93B-9E7D-4EB3-9929-931A01984783}" dateTime="2021-10-05T22:26:58" maxSheetId="2" userName="Marcel Riesenbeck" r:id="rId177" minRId="449" maxRId="450">
    <sheetIdMap count="1">
      <sheetId val="1"/>
    </sheetIdMap>
  </header>
  <header guid="{6AC8F81C-AB79-4191-B9B0-A74EEDA4E121}" dateTime="2021-10-05T22:27:12" maxSheetId="2" userName="Marcel Riesenbeck" r:id="rId178" minRId="451" maxRId="452">
    <sheetIdMap count="1">
      <sheetId val="1"/>
    </sheetIdMap>
  </header>
  <header guid="{198F8E37-1FC9-4E68-B8E2-5E9FC5BA324C}" dateTime="2021-10-05T22:27:57" maxSheetId="2" userName="Marcel Riesenbeck" r:id="rId179" minRId="453" maxRId="454">
    <sheetIdMap count="1">
      <sheetId val="1"/>
    </sheetIdMap>
  </header>
  <header guid="{E9A2A546-E3D8-4697-B85A-1E9FF62F2720}" dateTime="2021-10-05T22:29:02" maxSheetId="2" userName="Marcel Riesenbeck" r:id="rId180" minRId="455" maxRId="456">
    <sheetIdMap count="1">
      <sheetId val="1"/>
    </sheetIdMap>
  </header>
  <header guid="{96E3EC69-4488-4C73-AFB4-C900B5481E38}" dateTime="2021-10-05T22:29:46" maxSheetId="2" userName="Marcel Riesenbeck" r:id="rId181" minRId="457" maxRId="458">
    <sheetIdMap count="1">
      <sheetId val="1"/>
    </sheetIdMap>
  </header>
  <header guid="{EA0E07B4-77FA-4109-AB85-C3EB8AB87787}" dateTime="2021-10-05T22:30:41" maxSheetId="2" userName="Marcel Riesenbeck" r:id="rId182" minRId="459" maxRId="460">
    <sheetIdMap count="1">
      <sheetId val="1"/>
    </sheetIdMap>
  </header>
  <header guid="{DB3C7389-83DC-4185-A2E4-3F8DD127B20E}" dateTime="2021-10-05T22:31:25" maxSheetId="2" userName="Marcel Riesenbeck" r:id="rId183" minRId="461" maxRId="462">
    <sheetIdMap count="1">
      <sheetId val="1"/>
    </sheetIdMap>
  </header>
  <header guid="{36D0F81C-F3EF-42D1-A0A9-389BB505C28D}" dateTime="2021-10-05T22:32:09" maxSheetId="2" userName="Marcel Riesenbeck" r:id="rId184" minRId="463" maxRId="464">
    <sheetIdMap count="1">
      <sheetId val="1"/>
    </sheetIdMap>
  </header>
  <header guid="{3AB32D10-DC94-495F-BC43-7EE5C64810D8}" dateTime="2021-10-05T22:32:54" maxSheetId="2" userName="Marcel Riesenbeck" r:id="rId185" minRId="465" maxRId="466">
    <sheetIdMap count="1">
      <sheetId val="1"/>
    </sheetIdMap>
  </header>
  <header guid="{8910B70C-4C13-4562-B1A9-A0B8F978A463}" dateTime="2021-10-05T22:33:38" maxSheetId="2" userName="Marcel Riesenbeck" r:id="rId186" minRId="467" maxRId="468">
    <sheetIdMap count="1">
      <sheetId val="1"/>
    </sheetIdMap>
  </header>
  <header guid="{83839EAB-5129-4B13-982E-3A9E2430710C}" dateTime="2021-10-05T22:34:43" maxSheetId="2" userName="Marcel Riesenbeck" r:id="rId187" minRId="469" maxRId="470">
    <sheetIdMap count="1">
      <sheetId val="1"/>
    </sheetIdMap>
  </header>
  <header guid="{4EED8CFA-48A3-4F54-8CB6-60E09E654218}" dateTime="2021-10-06T01:05:02" maxSheetId="2" userName="Marcel Riesenbeck" r:id="rId188" minRId="471" maxRId="788">
    <sheetIdMap count="1">
      <sheetId val="1"/>
    </sheetIdMap>
  </header>
  <header guid="{1E11706F-3D29-4CCF-BBC4-1C77C25A1C69}" dateTime="2022-02-12T18:09:23" maxSheetId="2" userName="Marcel Riesenbeck" r:id="rId189" minRId="789" maxRId="790">
    <sheetIdMap count="1">
      <sheetId val="1"/>
    </sheetIdMap>
  </header>
  <header guid="{C28DA484-7A3B-4A26-9191-BC11EC702C3E}" dateTime="2022-02-12T18:19:38" maxSheetId="2" userName="Marcel Riesenbeck" r:id="rId190" minRId="791" maxRId="844">
    <sheetIdMap count="1">
      <sheetId val="1"/>
    </sheetIdMap>
  </header>
  <header guid="{934F84A8-1046-40FD-8327-51B154CE48E0}" dateTime="2022-02-12T18:19:58" maxSheetId="2" userName="Marcel Riesenbeck" r:id="rId191" minRId="845" maxRId="846">
    <sheetIdMap count="1">
      <sheetId val="1"/>
    </sheetIdMap>
  </header>
  <header guid="{5CB45E32-56DC-4968-BA8F-B98073CDFB54}" dateTime="2022-02-12T18:20:59" maxSheetId="2" userName="Marcel Riesenbeck" r:id="rId192" minRId="847" maxRId="848">
    <sheetIdMap count="1">
      <sheetId val="1"/>
    </sheetIdMap>
  </header>
  <header guid="{2012F17C-5AB5-4E89-AA30-DBF60402F986}" dateTime="2022-02-12T18:21:14" maxSheetId="2" userName="Marcel Riesenbeck" r:id="rId193" minRId="849" maxRId="850">
    <sheetIdMap count="1">
      <sheetId val="1"/>
    </sheetIdMap>
  </header>
  <header guid="{BF36F09E-E0F4-4656-B6D8-47E1FB504078}" dateTime="2022-02-12T18:21:28" maxSheetId="2" userName="Marcel Riesenbeck" r:id="rId194" minRId="851" maxRId="852">
    <sheetIdMap count="1">
      <sheetId val="1"/>
    </sheetIdMap>
  </header>
  <header guid="{2BF04819-A0CA-4A22-B3E2-3C4E8D732465}" dateTime="2022-02-12T18:22:29" maxSheetId="2" userName="Marcel Riesenbeck" r:id="rId195" minRId="853" maxRId="854">
    <sheetIdMap count="1">
      <sheetId val="1"/>
    </sheetIdMap>
  </header>
  <header guid="{13204304-D178-458E-A664-337C3A9B86D7}" dateTime="2022-02-12T18:22:45" maxSheetId="2" userName="Marcel Riesenbeck" r:id="rId196" minRId="855">
    <sheetIdMap count="1">
      <sheetId val="1"/>
    </sheetIdMap>
  </header>
  <header guid="{B298E0D3-D5C9-402A-8D18-0D22A9C487C4}" dateTime="2022-02-12T18:22:59" maxSheetId="2" userName="Marcel Riesenbeck" r:id="rId197" minRId="856">
    <sheetIdMap count="1">
      <sheetId val="1"/>
    </sheetIdMap>
  </header>
  <header guid="{DC89673B-D712-4E60-8575-CCD87BDABD2D}" dateTime="2022-02-12T18:23:14" maxSheetId="2" userName="Marcel Riesenbeck" r:id="rId198" minRId="857" maxRId="858">
    <sheetIdMap count="1">
      <sheetId val="1"/>
    </sheetIdMap>
  </header>
  <header guid="{869AE132-EBEC-4855-A8EA-44197A5B6D3A}" dateTime="2022-02-12T18:25:11" maxSheetId="2" userName="Marcel Riesenbeck" r:id="rId199" minRId="859" maxRId="860">
    <sheetIdMap count="1">
      <sheetId val="1"/>
    </sheetIdMap>
  </header>
  <header guid="{DEF7B77B-0611-4B3E-A098-7B330A8855C1}" dateTime="2022-02-12T18:26:17" maxSheetId="2" userName="Marcel Riesenbeck" r:id="rId200" minRId="861" maxRId="862">
    <sheetIdMap count="1">
      <sheetId val="1"/>
    </sheetIdMap>
  </header>
  <header guid="{BDB47587-E256-47B6-BCC6-FADE1F4387C8}" dateTime="2022-02-12T18:27:12" maxSheetId="2" userName="Marcel Riesenbeck" r:id="rId201" minRId="863" maxRId="864">
    <sheetIdMap count="1">
      <sheetId val="1"/>
    </sheetIdMap>
  </header>
  <header guid="{3AB327A8-AC82-4FD4-A8FB-7481A9A53241}" dateTime="2022-02-12T18:27:28" maxSheetId="2" userName="Marcel Riesenbeck" r:id="rId202" minRId="865" maxRId="866">
    <sheetIdMap count="1">
      <sheetId val="1"/>
    </sheetIdMap>
  </header>
  <header guid="{1FF80671-DFC0-422A-9F56-2A7FDAA6BC93}" dateTime="2022-02-12T18:27:42" maxSheetId="2" userName="Marcel Riesenbeck" r:id="rId203" minRId="867" maxRId="868">
    <sheetIdMap count="1">
      <sheetId val="1"/>
    </sheetIdMap>
  </header>
  <header guid="{E6D157B2-6785-44D7-B50D-18FB94D2C19D}" dateTime="2022-02-12T18:27:58" maxSheetId="2" userName="Marcel Riesenbeck" r:id="rId204" minRId="869" maxRId="870">
    <sheetIdMap count="1">
      <sheetId val="1"/>
    </sheetIdMap>
  </header>
  <header guid="{C28B6208-AC46-48F1-B8E7-B3E3E11EE2F7}" dateTime="2022-02-12T18:28:14" maxSheetId="2" userName="Marcel Riesenbeck" r:id="rId205" minRId="871" maxRId="872">
    <sheetIdMap count="1">
      <sheetId val="1"/>
    </sheetIdMap>
  </header>
  <header guid="{3EA0F07A-A8CE-4555-A7DF-C7E6C072E28A}" dateTime="2022-02-12T18:28:31" maxSheetId="2" userName="Marcel Riesenbeck" r:id="rId206" minRId="873" maxRId="874">
    <sheetIdMap count="1">
      <sheetId val="1"/>
    </sheetIdMap>
  </header>
  <header guid="{5E87079C-1CD4-4641-B54F-A3AC7FB64D85}" dateTime="2022-02-12T18:28:47" maxSheetId="2" userName="Marcel Riesenbeck" r:id="rId207" minRId="875" maxRId="876">
    <sheetIdMap count="1">
      <sheetId val="1"/>
    </sheetIdMap>
  </header>
  <header guid="{9ACFA9A5-40C8-48C1-B9EB-BE48645A9784}" dateTime="2022-02-12T18:29:13" maxSheetId="2" userName="Marcel Riesenbeck" r:id="rId208" minRId="877" maxRId="878">
    <sheetIdMap count="1">
      <sheetId val="1"/>
    </sheetIdMap>
  </header>
  <header guid="{D60AE1D4-9ACB-4C0C-83F5-16FBC9DF91A6}" dateTime="2022-02-12T18:29:39" maxSheetId="2" userName="Marcel Riesenbeck" r:id="rId209" minRId="879" maxRId="880">
    <sheetIdMap count="1">
      <sheetId val="1"/>
    </sheetIdMap>
  </header>
  <header guid="{80C3E688-3917-48DB-B23F-F43A0DD35F0B}" dateTime="2022-02-12T18:31:13" maxSheetId="2" userName="Marcel Riesenbeck" r:id="rId210" minRId="881" maxRId="882">
    <sheetIdMap count="1">
      <sheetId val="1"/>
    </sheetIdMap>
  </header>
  <header guid="{DCB95AB5-F912-4036-AE4D-C18249168FCD}" dateTime="2022-02-12T18:31:24" maxSheetId="2" userName="Marcel Riesenbeck" r:id="rId211" minRId="883" maxRId="884">
    <sheetIdMap count="1">
      <sheetId val="1"/>
    </sheetIdMap>
  </header>
  <header guid="{BC9D82E4-A58D-4CEF-A48C-963FC4BB3025}" dateTime="2022-02-12T18:31:29" maxSheetId="2" userName="Marcel Riesenbeck" r:id="rId212" minRId="885" maxRId="886">
    <sheetIdMap count="1">
      <sheetId val="1"/>
    </sheetIdMap>
  </header>
  <header guid="{DF805904-5033-44B7-BB6D-5C07FF47CCAF}" dateTime="2022-02-12T18:31:37" maxSheetId="2" userName="Marcel Riesenbeck" r:id="rId213" minRId="887" maxRId="892">
    <sheetIdMap count="1">
      <sheetId val="1"/>
    </sheetIdMap>
  </header>
  <header guid="{B7CD5E92-1DBA-4B44-B67F-48E25CCD6C3E}" dateTime="2022-02-12T18:31:54" maxSheetId="2" userName="Marcel Riesenbeck" r:id="rId214" minRId="893" maxRId="894">
    <sheetIdMap count="1">
      <sheetId val="1"/>
    </sheetIdMap>
  </header>
  <header guid="{53D81C2A-F568-4BC6-9E4F-66153DD0DB99}" dateTime="2022-02-12T18:32:23" maxSheetId="2" userName="Marcel Riesenbeck" r:id="rId215" minRId="895" maxRId="896">
    <sheetIdMap count="1">
      <sheetId val="1"/>
    </sheetIdMap>
  </header>
  <header guid="{FF806E13-5A5E-4D09-9806-F9A32B49DCF8}" dateTime="2022-02-12T18:32:39" maxSheetId="2" userName="Marcel Riesenbeck" r:id="rId216" minRId="897" maxRId="898">
    <sheetIdMap count="1">
      <sheetId val="1"/>
    </sheetIdMap>
  </header>
  <header guid="{E9C29103-934E-43B5-86B2-7AE35B0B99D9}" dateTime="2022-02-12T18:33:05" maxSheetId="2" userName="Marcel Riesenbeck" r:id="rId217" minRId="899" maxRId="900">
    <sheetIdMap count="1">
      <sheetId val="1"/>
    </sheetIdMap>
  </header>
  <header guid="{8D6AD4B1-A4FF-4387-81CA-0A594B52483E}" dateTime="2022-02-12T18:33:15" maxSheetId="2" userName="Marcel Riesenbeck" r:id="rId218" minRId="901" maxRId="902">
    <sheetIdMap count="1">
      <sheetId val="1"/>
    </sheetIdMap>
  </header>
  <header guid="{0A8D1276-4DAF-4718-A1E4-B9C85D42D961}" dateTime="2022-02-12T18:33:25" maxSheetId="2" userName="Marcel Riesenbeck" r:id="rId219" minRId="903" maxRId="904">
    <sheetIdMap count="1">
      <sheetId val="1"/>
    </sheetIdMap>
  </header>
  <header guid="{C26B419A-54B4-489B-BE93-A3EEC4FD9C19}" dateTime="2022-02-12T18:33:41" maxSheetId="2" userName="Marcel Riesenbeck" r:id="rId220" minRId="905" maxRId="906">
    <sheetIdMap count="1">
      <sheetId val="1"/>
    </sheetIdMap>
  </header>
  <header guid="{E5DA6E50-497B-4330-9254-745E30CA94F0}" dateTime="2022-02-12T18:33:56" maxSheetId="2" userName="Marcel Riesenbeck" r:id="rId221" minRId="907" maxRId="908">
    <sheetIdMap count="1">
      <sheetId val="1"/>
    </sheetIdMap>
  </header>
  <header guid="{55C3BA64-7895-4D1C-BCD0-BB2D1D0105FA}" dateTime="2022-02-12T18:34:06" maxSheetId="2" userName="Marcel Riesenbeck" r:id="rId222" minRId="909" maxRId="910">
    <sheetIdMap count="1">
      <sheetId val="1"/>
    </sheetIdMap>
  </header>
  <header guid="{A4E898D8-DEB3-4CA6-AEAB-CF0A9A709577}" dateTime="2022-02-12T18:34:22" maxSheetId="2" userName="Marcel Riesenbeck" r:id="rId223" minRId="911" maxRId="912">
    <sheetIdMap count="1">
      <sheetId val="1"/>
    </sheetIdMap>
  </header>
  <header guid="{8AEEBB7C-91F5-4D45-B0D5-5BDCAD3E6C3C}" dateTime="2022-02-12T18:34:54" maxSheetId="2" userName="Marcel Riesenbeck" r:id="rId224" minRId="913" maxRId="914">
    <sheetIdMap count="1">
      <sheetId val="1"/>
    </sheetIdMap>
  </header>
  <header guid="{569A3441-3CAA-4B9F-909E-4A9BD2B20873}" dateTime="2022-02-12T18:35:15" maxSheetId="2" userName="Marcel Riesenbeck" r:id="rId225" minRId="915" maxRId="916">
    <sheetIdMap count="1">
      <sheetId val="1"/>
    </sheetIdMap>
  </header>
  <header guid="{BDCD48FC-EEC1-425B-8BAF-E4D85160719B}" dateTime="2022-02-12T18:35:26" maxSheetId="2" userName="Marcel Riesenbeck" r:id="rId226" minRId="917" maxRId="918">
    <sheetIdMap count="1">
      <sheetId val="1"/>
    </sheetIdMap>
  </header>
  <header guid="{83823BFD-9693-42F2-8456-0EB98BEDF901}" dateTime="2022-02-12T18:35:28" maxSheetId="2" userName="Marcel Riesenbeck" r:id="rId227">
    <sheetIdMap count="1">
      <sheetId val="1"/>
    </sheetIdMap>
  </header>
  <header guid="{7FF356E8-2959-42E8-91B5-F788C7B57FDD}" dateTime="2022-02-12T18:35:42" maxSheetId="2" userName="Marcel Riesenbeck" r:id="rId228" minRId="919" maxRId="920">
    <sheetIdMap count="1">
      <sheetId val="1"/>
    </sheetIdMap>
  </header>
  <header guid="{2D20A92E-375E-4565-95B2-BEE617A1B728}" dateTime="2022-02-12T18:36:04" maxSheetId="2" userName="Marcel Riesenbeck" r:id="rId229" minRId="921" maxRId="922">
    <sheetIdMap count="1">
      <sheetId val="1"/>
    </sheetIdMap>
  </header>
  <header guid="{0C233F16-B469-44DE-A61F-8983536F7B03}" dateTime="2022-02-12T18:36:25" maxSheetId="2" userName="Marcel Riesenbeck" r:id="rId230" minRId="923" maxRId="924">
    <sheetIdMap count="1">
      <sheetId val="1"/>
    </sheetIdMap>
  </header>
  <header guid="{345BC910-39E1-471E-AA94-D904F4E218E1}" dateTime="2022-02-12T18:36:51" maxSheetId="2" userName="Marcel Riesenbeck" r:id="rId231" minRId="925" maxRId="926">
    <sheetIdMap count="1">
      <sheetId val="1"/>
    </sheetIdMap>
  </header>
  <header guid="{B038F847-22A6-49FA-8A05-72EFAA3AA1BF}" dateTime="2022-02-12T18:37:01" maxSheetId="2" userName="Marcel Riesenbeck" r:id="rId232" minRId="927" maxRId="928">
    <sheetIdMap count="1">
      <sheetId val="1"/>
    </sheetIdMap>
  </header>
  <header guid="{510430E2-853F-43A5-99D4-C929DB9457A6}" dateTime="2022-02-12T18:37:20" maxSheetId="2" userName="Marcel Riesenbeck" r:id="rId233" minRId="929" maxRId="930">
    <sheetIdMap count="1">
      <sheetId val="1"/>
    </sheetIdMap>
  </header>
  <header guid="{5208DCDF-270C-44C4-902A-A49F25D8C090}" dateTime="2022-02-12T18:37:24" maxSheetId="2" userName="Marcel Riesenbeck" r:id="rId234">
    <sheetIdMap count="1">
      <sheetId val="1"/>
    </sheetIdMap>
  </header>
  <header guid="{4C2AE900-1AE3-4A38-A082-F9989F415FC0}" dateTime="2022-02-12T18:37:33" maxSheetId="2" userName="Marcel Riesenbeck" r:id="rId235" minRId="931" maxRId="946">
    <sheetIdMap count="1">
      <sheetId val="1"/>
    </sheetIdMap>
  </header>
  <header guid="{AA50084B-46E5-4A0F-8921-34CC39A7D07F}" dateTime="2022-02-12T18:38:09" maxSheetId="2" userName="Marcel Riesenbeck" r:id="rId236" minRId="947" maxRId="948">
    <sheetIdMap count="1">
      <sheetId val="1"/>
    </sheetIdMap>
  </header>
  <header guid="{E581255B-74C2-425C-8CB3-67F5BE22F522}" dateTime="2022-02-12T18:38:25" maxSheetId="2" userName="Marcel Riesenbeck" r:id="rId237" minRId="949" maxRId="950">
    <sheetIdMap count="1">
      <sheetId val="1"/>
    </sheetIdMap>
  </header>
  <header guid="{1AC42F1E-867D-4D5D-A787-86DE291C6097}" dateTime="2022-02-12T18:38:47" maxSheetId="2" userName="Marcel Riesenbeck" r:id="rId238" minRId="951" maxRId="952">
    <sheetIdMap count="1">
      <sheetId val="1"/>
    </sheetIdMap>
  </header>
  <header guid="{5C584CC9-046E-494A-9429-437FDC4FE542}" dateTime="2022-02-12T18:39:46" maxSheetId="2" userName="Marcel Riesenbeck" r:id="rId239" minRId="953" maxRId="954">
    <sheetIdMap count="1">
      <sheetId val="1"/>
    </sheetIdMap>
  </header>
  <header guid="{43295BDB-8DAC-428D-BC36-C793C5A46A6A}" dateTime="2022-02-12T18:40:06" maxSheetId="2" userName="Marcel Riesenbeck" r:id="rId240" minRId="955" maxRId="956">
    <sheetIdMap count="1">
      <sheetId val="1"/>
    </sheetIdMap>
  </header>
  <header guid="{AF09A59E-4A41-4F0F-A19A-DACDC878F667}" dateTime="2022-02-12T18:40:28" maxSheetId="2" userName="Marcel Riesenbeck" r:id="rId241" minRId="957" maxRId="958">
    <sheetIdMap count="1">
      <sheetId val="1"/>
    </sheetIdMap>
  </header>
  <header guid="{C394488C-EE25-4BCF-AB91-2960A827DDA6}" dateTime="2022-02-12T18:40:39" maxSheetId="2" userName="Marcel Riesenbeck" r:id="rId242" minRId="959" maxRId="960">
    <sheetIdMap count="1">
      <sheetId val="1"/>
    </sheetIdMap>
  </header>
  <header guid="{8162ADD6-8231-449E-8EC1-7E8513EBFD71}" dateTime="2022-02-12T18:41:05" maxSheetId="2" userName="Marcel Riesenbeck" r:id="rId243" minRId="961" maxRId="962">
    <sheetIdMap count="1">
      <sheetId val="1"/>
    </sheetIdMap>
  </header>
  <header guid="{DCD58594-BEC3-4108-B473-225DF6CD6DA7}" dateTime="2022-02-12T18:41:21" maxSheetId="2" userName="Marcel Riesenbeck" r:id="rId244" minRId="963" maxRId="964">
    <sheetIdMap count="1">
      <sheetId val="1"/>
    </sheetIdMap>
  </header>
  <header guid="{02271EB4-8542-4A77-A37A-42FD4882B351}" dateTime="2022-02-12T18:41:42" maxSheetId="2" userName="Marcel Riesenbeck" r:id="rId245" minRId="965" maxRId="966">
    <sheetIdMap count="1">
      <sheetId val="1"/>
    </sheetIdMap>
  </header>
  <header guid="{950BB8DC-B3B4-4305-9523-5F9470C2395D}" dateTime="2022-02-12T18:42:04" maxSheetId="2" userName="Marcel Riesenbeck" r:id="rId246" minRId="967" maxRId="968">
    <sheetIdMap count="1">
      <sheetId val="1"/>
    </sheetIdMap>
  </header>
  <header guid="{A5EF56D1-CBAF-4220-AB93-E3D47D90D710}" dateTime="2022-02-12T18:42:15" maxSheetId="2" userName="Marcel Riesenbeck" r:id="rId247" minRId="969" maxRId="971">
    <sheetIdMap count="1">
      <sheetId val="1"/>
    </sheetIdMap>
  </header>
  <header guid="{AAA075DE-7AFD-45FC-9D51-0028D9443C5C}" dateTime="2022-02-12T18:42:26" maxSheetId="2" userName="Marcel Riesenbeck" r:id="rId248" minRId="972" maxRId="973">
    <sheetIdMap count="1">
      <sheetId val="1"/>
    </sheetIdMap>
  </header>
  <header guid="{CACC6443-7F64-42FF-8299-AA9C2A3183A8}" dateTime="2022-02-12T18:42:42" maxSheetId="2" userName="Marcel Riesenbeck" r:id="rId249" minRId="974" maxRId="975">
    <sheetIdMap count="1">
      <sheetId val="1"/>
    </sheetIdMap>
  </header>
  <header guid="{C91DA512-5223-4B9D-9279-9E9C54AB3845}" dateTime="2022-02-12T18:43:08" maxSheetId="2" userName="Marcel Riesenbeck" r:id="rId250" minRId="976" maxRId="977">
    <sheetIdMap count="1">
      <sheetId val="1"/>
    </sheetIdMap>
  </header>
  <header guid="{BD57254B-B58E-4AFA-9DC2-ED2BF3B4C51E}" dateTime="2022-02-12T18:43:19" maxSheetId="2" userName="Marcel Riesenbeck" r:id="rId251" minRId="978" maxRId="979">
    <sheetIdMap count="1">
      <sheetId val="1"/>
    </sheetIdMap>
  </header>
  <header guid="{A46B8128-8158-4D81-A83F-F337B37E693D}" dateTime="2022-02-12T18:43:42" maxSheetId="2" userName="Marcel Riesenbeck" r:id="rId252" minRId="980" maxRId="981">
    <sheetIdMap count="1">
      <sheetId val="1"/>
    </sheetIdMap>
  </header>
  <header guid="{B4FE48DD-02F2-4C83-A3C5-F36D550E773C}" dateTime="2022-02-12T18:44:09" maxSheetId="2" userName="Marcel Riesenbeck" r:id="rId253" minRId="982" maxRId="983">
    <sheetIdMap count="1">
      <sheetId val="1"/>
    </sheetIdMap>
  </header>
  <header guid="{74AAB458-3E35-480E-ACD2-3AE7BF6AB41A}" dateTime="2022-02-12T18:44:25" maxSheetId="2" userName="Marcel Riesenbeck" r:id="rId254" minRId="984" maxRId="985">
    <sheetIdMap count="1">
      <sheetId val="1"/>
    </sheetIdMap>
  </header>
  <header guid="{19972BE8-1994-4147-8D4C-8EE5A5B1FA95}" dateTime="2022-02-12T18:44:41" maxSheetId="2" userName="Marcel Riesenbeck" r:id="rId255" minRId="986" maxRId="987">
    <sheetIdMap count="1">
      <sheetId val="1"/>
    </sheetIdMap>
  </header>
  <header guid="{3BDD005F-BEDD-45A0-9D18-8D2255BFA5A3}" dateTime="2022-02-12T18:45:08" maxSheetId="2" userName="Marcel Riesenbeck" r:id="rId256" minRId="988" maxRId="989">
    <sheetIdMap count="1">
      <sheetId val="1"/>
    </sheetIdMap>
  </header>
  <header guid="{CB69A075-6D1F-4AF4-92B5-666FDA7F06BC}" dateTime="2022-02-12T18:45:20" maxSheetId="2" userName="Marcel Riesenbeck" r:id="rId257" minRId="990" maxRId="991">
    <sheetIdMap count="1">
      <sheetId val="1"/>
    </sheetIdMap>
  </header>
  <header guid="{14FC7641-C0E3-4D8C-B1FA-CA30822F7C6A}" dateTime="2022-02-12T18:45:41" maxSheetId="2" userName="Marcel Riesenbeck" r:id="rId258" minRId="992" maxRId="993">
    <sheetIdMap count="1">
      <sheetId val="1"/>
    </sheetIdMap>
  </header>
  <header guid="{A8E5AFC0-3254-4E41-A22A-2C66880B8B4E}" dateTime="2022-02-12T18:46:02" maxSheetId="2" userName="Marcel Riesenbeck" r:id="rId259" minRId="994" maxRId="995">
    <sheetIdMap count="1">
      <sheetId val="1"/>
    </sheetIdMap>
  </header>
  <header guid="{D200E0FF-7B1A-4901-84C9-560AA80FBB22}" dateTime="2022-02-12T18:46:24" maxSheetId="2" userName="Marcel Riesenbeck" r:id="rId260" minRId="996" maxRId="997">
    <sheetIdMap count="1">
      <sheetId val="1"/>
    </sheetIdMap>
  </header>
  <header guid="{FB898342-8A5F-492D-B687-10D87666EBCD}" dateTime="2022-02-12T18:46:46" maxSheetId="2" userName="Marcel Riesenbeck" r:id="rId261" minRId="998" maxRId="999">
    <sheetIdMap count="1">
      <sheetId val="1"/>
    </sheetIdMap>
  </header>
  <header guid="{3440D16B-06A8-47E8-82CB-50C2D991B5AE}" dateTime="2022-02-12T18:47:45" maxSheetId="2" userName="Marcel Riesenbeck" r:id="rId262" minRId="1000" maxRId="1001">
    <sheetIdMap count="1">
      <sheetId val="1"/>
    </sheetIdMap>
  </header>
  <header guid="{CA62D199-57EF-4750-B341-BB8BF6EEBF5E}" dateTime="2022-02-12T18:48:23" maxSheetId="2" userName="Marcel Riesenbeck" r:id="rId263" minRId="1002" maxRId="1003">
    <sheetIdMap count="1">
      <sheetId val="1"/>
    </sheetIdMap>
  </header>
  <header guid="{933ED28D-E177-4BA9-BA88-C02CDC3771A7}" dateTime="2022-02-12T18:49:06" maxSheetId="2" userName="Marcel Riesenbeck" r:id="rId264" minRId="1004" maxRId="1005">
    <sheetIdMap count="1">
      <sheetId val="1"/>
    </sheetIdMap>
  </header>
  <header guid="{57629DEA-E75B-42C5-AFF6-EE6300B2263B}" dateTime="2022-02-12T18:49:44" maxSheetId="2" userName="Marcel Riesenbeck" r:id="rId265" minRId="1006" maxRId="1007">
    <sheetIdMap count="1">
      <sheetId val="1"/>
    </sheetIdMap>
  </header>
  <header guid="{FD52E3FE-E008-4B5D-AC0B-438053A24F16}" dateTime="2022-02-12T18:50:11" maxSheetId="2" userName="Marcel Riesenbeck" r:id="rId266" minRId="1008" maxRId="1009">
    <sheetIdMap count="1">
      <sheetId val="1"/>
    </sheetIdMap>
  </header>
  <header guid="{D2A24353-80F0-4069-A119-8786540E7811}" dateTime="2022-02-12T18:50:22" maxSheetId="2" userName="Marcel Riesenbeck" r:id="rId267" minRId="1010" maxRId="1011">
    <sheetIdMap count="1">
      <sheetId val="1"/>
    </sheetIdMap>
  </header>
  <header guid="{518B9B1E-88F1-4CA5-9D61-F02953CE46FA}" dateTime="2022-02-12T18:50:49" maxSheetId="2" userName="Marcel Riesenbeck" r:id="rId268" minRId="1012" maxRId="1013">
    <sheetIdMap count="1">
      <sheetId val="1"/>
    </sheetIdMap>
  </header>
  <header guid="{87AB22EA-0727-4E1F-A859-96B170F16B62}" dateTime="2022-02-12T18:51:00" maxSheetId="2" userName="Marcel Riesenbeck" r:id="rId269" minRId="1014" maxRId="1015">
    <sheetIdMap count="1">
      <sheetId val="1"/>
    </sheetIdMap>
  </header>
  <header guid="{65C5EBB7-BE0B-41A6-B486-0C7AA9064598}" dateTime="2022-02-12T18:51:22" maxSheetId="2" userName="Marcel Riesenbeck" r:id="rId270" minRId="1016" maxRId="1017">
    <sheetIdMap count="1">
      <sheetId val="1"/>
    </sheetIdMap>
  </header>
  <header guid="{32FC4EF0-3CEA-4801-92E2-93C67FB2D7D9}" dateTime="2022-02-12T18:51:43" maxSheetId="2" userName="Marcel Riesenbeck" r:id="rId271" minRId="1018" maxRId="1019">
    <sheetIdMap count="1">
      <sheetId val="1"/>
    </sheetIdMap>
  </header>
  <header guid="{6AE6D79F-920C-44E6-8834-A9772998F033}" dateTime="2022-02-12T18:52:05" maxSheetId="2" userName="Marcel Riesenbeck" r:id="rId272" minRId="1020" maxRId="1021">
    <sheetIdMap count="1">
      <sheetId val="1"/>
    </sheetIdMap>
  </header>
  <header guid="{F87B89C9-A2BD-4C5A-8A86-8B322B2C2FE0}" dateTime="2022-02-12T18:52:21" maxSheetId="2" userName="Marcel Riesenbeck" r:id="rId273" minRId="1022" maxRId="1023">
    <sheetIdMap count="1">
      <sheetId val="1"/>
    </sheetIdMap>
  </header>
  <header guid="{218685C0-36B8-40B9-AFED-2EE840FF8DBC}" dateTime="2022-02-12T18:52:48" maxSheetId="2" userName="Marcel Riesenbeck" r:id="rId274" minRId="1024" maxRId="1025">
    <sheetIdMap count="1">
      <sheetId val="1"/>
    </sheetIdMap>
  </header>
  <header guid="{38A8501E-8B13-4E15-9D42-C0847601FE64}" dateTime="2022-02-12T18:52:59" maxSheetId="2" userName="Marcel Riesenbeck" r:id="rId275" minRId="1026" maxRId="1027">
    <sheetIdMap count="1">
      <sheetId val="1"/>
    </sheetIdMap>
  </header>
  <header guid="{EA967606-69DE-45C8-8302-2B6720406EA8}" dateTime="2022-02-12T18:53:21" maxSheetId="2" userName="Marcel Riesenbeck" r:id="rId276" minRId="1028" maxRId="1029">
    <sheetIdMap count="1">
      <sheetId val="1"/>
    </sheetIdMap>
  </header>
  <header guid="{3019E86F-3DC8-491F-B561-5DEEBBBFAD4D}" dateTime="2022-02-12T18:53:42" maxSheetId="2" userName="Marcel Riesenbeck" r:id="rId277" minRId="1030" maxRId="1031">
    <sheetIdMap count="1">
      <sheetId val="1"/>
    </sheetIdMap>
  </header>
  <header guid="{4F3A7D9F-1C37-4883-9884-37F478C0FEF9}" dateTime="2022-02-12T18:54:04" maxSheetId="2" userName="Marcel Riesenbeck" r:id="rId278" minRId="1032" maxRId="1033">
    <sheetIdMap count="1">
      <sheetId val="1"/>
    </sheetIdMap>
  </header>
  <header guid="{E5F05E95-1597-4D1B-9EA8-4ADF70DD1C8C}" dateTime="2022-02-12T18:54:26" maxSheetId="2" userName="Marcel Riesenbeck" r:id="rId279" minRId="1034" maxRId="1035">
    <sheetIdMap count="1">
      <sheetId val="1"/>
    </sheetIdMap>
  </header>
  <header guid="{ABD12411-726A-4AC5-BAAC-BE07B7018254}" dateTime="2022-02-12T18:54:53" maxSheetId="2" userName="Marcel Riesenbeck" r:id="rId280" minRId="1036" maxRId="1037">
    <sheetIdMap count="1">
      <sheetId val="1"/>
    </sheetIdMap>
  </header>
  <header guid="{0DF4C91C-8E71-4D6E-B2AC-780765B754A5}" dateTime="2022-02-12T18:55:14" maxSheetId="2" userName="Marcel Riesenbeck" r:id="rId281" minRId="1038" maxRId="1039">
    <sheetIdMap count="1">
      <sheetId val="1"/>
    </sheetIdMap>
  </header>
  <header guid="{2345E601-23F7-43AA-8F64-7FA40BD5FDC7}" dateTime="2022-02-12T18:55:25" maxSheetId="2" userName="Marcel Riesenbeck" r:id="rId282" minRId="1040" maxRId="1041">
    <sheetIdMap count="1">
      <sheetId val="1"/>
    </sheetIdMap>
  </header>
  <header guid="{56575D05-0C1F-45A7-B936-6F5D3D119FD6}" dateTime="2022-02-12T18:55:41" maxSheetId="2" userName="Marcel Riesenbeck" r:id="rId283" minRId="1042" maxRId="1043">
    <sheetIdMap count="1">
      <sheetId val="1"/>
    </sheetIdMap>
  </header>
  <header guid="{C0264DE6-C6C3-4069-A781-7760FD038834}" dateTime="2022-02-12T18:56:04" maxSheetId="2" userName="Marcel Riesenbeck" r:id="rId284" minRId="1044" maxRId="1045">
    <sheetIdMap count="1">
      <sheetId val="1"/>
    </sheetIdMap>
  </header>
  <header guid="{DECA0F49-BB0A-405D-B4A4-C7C1D54822BC}" dateTime="2022-02-12T18:56:41" maxSheetId="2" userName="Marcel Riesenbeck" r:id="rId285" minRId="1046" maxRId="1047">
    <sheetIdMap count="1">
      <sheetId val="1"/>
    </sheetIdMap>
  </header>
  <header guid="{0758E902-BBD3-48D8-BFE5-89F6917EA630}" dateTime="2022-02-12T18:57:14" maxSheetId="2" userName="Marcel Riesenbeck" r:id="rId286" minRId="1048" maxRId="1049">
    <sheetIdMap count="1">
      <sheetId val="1"/>
    </sheetIdMap>
  </header>
  <header guid="{CD05D1F3-E177-4448-BF4A-99D035848B84}" dateTime="2022-02-12T18:57:30" maxSheetId="2" userName="Marcel Riesenbeck" r:id="rId287" minRId="1050" maxRId="1051">
    <sheetIdMap count="1">
      <sheetId val="1"/>
    </sheetIdMap>
  </header>
  <header guid="{1B82803C-1B7A-4682-BAE6-34394AA0ACAF}" dateTime="2022-02-12T18:57:47" maxSheetId="2" userName="Marcel Riesenbeck" r:id="rId288" minRId="1052" maxRId="1053">
    <sheetIdMap count="1">
      <sheetId val="1"/>
    </sheetIdMap>
  </header>
  <header guid="{DF93702B-B88C-4600-9041-471002689B77}" dateTime="2022-02-12T18:58:14" maxSheetId="2" userName="Marcel Riesenbeck" r:id="rId289" minRId="1054" maxRId="1055">
    <sheetIdMap count="1">
      <sheetId val="1"/>
    </sheetIdMap>
  </header>
  <header guid="{77D77329-B84D-4273-8E10-001C91E8D06F}" dateTime="2022-02-12T18:59:08" maxSheetId="2" userName="Marcel Riesenbeck" r:id="rId290" minRId="1056" maxRId="1057">
    <sheetIdMap count="1">
      <sheetId val="1"/>
    </sheetIdMap>
  </header>
  <header guid="{4ECCAB0C-1817-45D1-8E1A-9F6E930262AE}" dateTime="2022-02-12T18:59:20" maxSheetId="2" userName="Marcel Riesenbeck" r:id="rId291" minRId="1058" maxRId="1059">
    <sheetIdMap count="1">
      <sheetId val="1"/>
    </sheetIdMap>
  </header>
  <header guid="{F59BB1F5-DE5B-40EC-AEA0-97A696F8C1FA}" dateTime="2022-02-12T18:59:42" maxSheetId="2" userName="Marcel Riesenbeck" r:id="rId292" minRId="1060" maxRId="1061">
    <sheetIdMap count="1">
      <sheetId val="1"/>
    </sheetIdMap>
  </header>
  <header guid="{F4BA2D18-3EFC-4F27-81A0-3AAD72E7B73A}" dateTime="2022-02-12T19:00:24" maxSheetId="2" userName="Marcel Riesenbeck" r:id="rId293" minRId="1062" maxRId="1063">
    <sheetIdMap count="1">
      <sheetId val="1"/>
    </sheetIdMap>
  </header>
  <header guid="{F2160000-AC13-48BD-93BB-E0D1230736A2}" dateTime="2022-02-12T19:01:04" maxSheetId="2" userName="Marcel Riesenbeck" r:id="rId294" minRId="1064" maxRId="1065">
    <sheetIdMap count="1">
      <sheetId val="1"/>
    </sheetIdMap>
  </header>
  <header guid="{9694AC5E-6546-40C2-B2E3-2AE58EA54553}" dateTime="2022-02-12T19:01:26" maxSheetId="2" userName="Marcel Riesenbeck" r:id="rId295" minRId="1066" maxRId="1067">
    <sheetIdMap count="1">
      <sheetId val="1"/>
    </sheetIdMap>
  </header>
  <header guid="{8068C411-A8A7-4DBA-A52A-985126671B33}" dateTime="2022-02-12T19:01:54" maxSheetId="2" userName="Marcel Riesenbeck" r:id="rId296" minRId="1068" maxRId="1069">
    <sheetIdMap count="1">
      <sheetId val="1"/>
    </sheetIdMap>
  </header>
  <header guid="{6E270C36-06BB-43E1-A368-128BE168B8DD}" dateTime="2022-02-12T19:02:48" maxSheetId="2" userName="Marcel Riesenbeck" r:id="rId297" minRId="1070" maxRId="1071">
    <sheetIdMap count="1">
      <sheetId val="1"/>
    </sheetIdMap>
  </header>
  <header guid="{95210FC9-22C6-477E-8E3B-A4A6CA7B2543}" dateTime="2022-02-12T19:02:59" maxSheetId="2" userName="Marcel Riesenbeck" r:id="rId298" minRId="1072" maxRId="1073">
    <sheetIdMap count="1">
      <sheetId val="1"/>
    </sheetIdMap>
  </header>
  <header guid="{F029E7EE-DD7A-432A-944A-1C001C6B31F9}" dateTime="2022-02-12T19:03:21" maxSheetId="2" userName="Marcel Riesenbeck" r:id="rId299" minRId="1074" maxRId="1075">
    <sheetIdMap count="1">
      <sheetId val="1"/>
    </sheetIdMap>
  </header>
  <header guid="{12033E16-5AC4-4D89-A062-1A0F474645FF}" dateTime="2022-02-12T19:03:48" maxSheetId="2" userName="Marcel Riesenbeck" r:id="rId300" minRId="1076" maxRId="1077">
    <sheetIdMap count="1">
      <sheetId val="1"/>
    </sheetIdMap>
  </header>
  <header guid="{CD809324-9891-4D08-887B-0FDA7ECA5945}" dateTime="2022-02-12T19:04:10" maxSheetId="2" userName="Marcel Riesenbeck" r:id="rId301" minRId="1078" maxRId="1079">
    <sheetIdMap count="1">
      <sheetId val="1"/>
    </sheetIdMap>
  </header>
  <header guid="{AB1D7DA3-6682-4257-92BC-A1AEEC0C4A3D}" dateTime="2022-02-12T19:04:21" maxSheetId="2" userName="Marcel Riesenbeck" r:id="rId302" minRId="1080" maxRId="1081">
    <sheetIdMap count="1">
      <sheetId val="1"/>
    </sheetIdMap>
  </header>
  <header guid="{39C094DD-45C2-4E1E-B725-C0A75B7BBBED}" dateTime="2022-02-12T19:05:10" maxSheetId="2" userName="Marcel Riesenbeck" r:id="rId303" minRId="1082" maxRId="1083">
    <sheetIdMap count="1">
      <sheetId val="1"/>
    </sheetIdMap>
  </header>
  <header guid="{326CF6D4-9EE9-4304-878B-2EE4C9BE969E}" dateTime="2022-02-12T19:05:31" maxSheetId="2" userName="Marcel Riesenbeck" r:id="rId304" minRId="1084" maxRId="1085">
    <sheetIdMap count="1">
      <sheetId val="1"/>
    </sheetIdMap>
  </header>
  <header guid="{E12BCC58-9672-4335-ACC3-C30CDA9925A4}" dateTime="2022-02-12T19:05:48" maxSheetId="2" userName="Marcel Riesenbeck" r:id="rId305" minRId="1086" maxRId="1087">
    <sheetIdMap count="1">
      <sheetId val="1"/>
    </sheetIdMap>
  </header>
  <header guid="{EA9EC0D7-0A7C-4A49-917C-6B8FADCB0D48}" dateTime="2022-02-12T19:05:59" maxSheetId="2" userName="Marcel Riesenbeck" r:id="rId306" minRId="1088" maxRId="1089">
    <sheetIdMap count="1">
      <sheetId val="1"/>
    </sheetIdMap>
  </header>
  <header guid="{3D887954-829E-4CEE-8ABB-EB32CF2A4AB3}" dateTime="2022-02-12T19:06:21" maxSheetId="2" userName="Marcel Riesenbeck" r:id="rId307" minRId="1090" maxRId="1091">
    <sheetIdMap count="1">
      <sheetId val="1"/>
    </sheetIdMap>
  </header>
  <header guid="{025CB026-F81C-47E5-8046-94FF709BF60E}" dateTime="2022-02-12T19:06:49" maxSheetId="2" userName="Marcel Riesenbeck" r:id="rId308" minRId="1092" maxRId="1093">
    <sheetIdMap count="1">
      <sheetId val="1"/>
    </sheetIdMap>
  </header>
  <header guid="{E4235332-8FAC-4A10-8788-13BC4C6A9A8D}" dateTime="2022-02-12T19:07:11" maxSheetId="2" userName="Marcel Riesenbeck" r:id="rId309" minRId="1094" maxRId="1095">
    <sheetIdMap count="1">
      <sheetId val="1"/>
    </sheetIdMap>
  </header>
  <header guid="{529D0E3A-0CA4-4F9D-9D2C-EE5198E2765D}" dateTime="2022-02-12T19:07:22" maxSheetId="2" userName="Marcel Riesenbeck" r:id="rId310" minRId="1096" maxRId="1097">
    <sheetIdMap count="1">
      <sheetId val="1"/>
    </sheetIdMap>
  </header>
  <header guid="{524A3716-5850-496A-976D-1E2BDA0DAE65}" dateTime="2022-02-12T19:07:40" maxSheetId="2" userName="Marcel Riesenbeck" r:id="rId311" minRId="1098" maxRId="1099">
    <sheetIdMap count="1">
      <sheetId val="1"/>
    </sheetIdMap>
  </header>
  <header guid="{F2083054-2CA1-4E85-A790-5209D5EBE0C7}" dateTime="2022-02-12T19:08:02" maxSheetId="2" userName="Marcel Riesenbeck" r:id="rId312" minRId="1100" maxRId="1101">
    <sheetIdMap count="1">
      <sheetId val="1"/>
    </sheetIdMap>
  </header>
  <header guid="{0F90CFFC-29A4-4D4C-B8C7-DE915FA2E20A}" dateTime="2022-02-12T19:08:23" maxSheetId="2" userName="Marcel Riesenbeck" r:id="rId313" minRId="1102" maxRId="1103">
    <sheetIdMap count="1">
      <sheetId val="1"/>
    </sheetIdMap>
  </header>
  <header guid="{1932E739-C9FC-47A6-99C5-1E19E17BE765}" dateTime="2022-02-12T19:08:55" maxSheetId="2" userName="Marcel Riesenbeck" r:id="rId314" minRId="1104" maxRId="1105">
    <sheetIdMap count="1">
      <sheetId val="1"/>
    </sheetIdMap>
  </header>
  <header guid="{76671DDB-9F41-4E36-94A0-CC16D1129A42}" dateTime="2022-02-12T19:09:18" maxSheetId="2" userName="Marcel Riesenbeck" r:id="rId315" minRId="1106" maxRId="1107">
    <sheetIdMap count="1">
      <sheetId val="1"/>
    </sheetIdMap>
  </header>
  <header guid="{7454447D-EEE6-4884-962A-4714F9B78F09}" dateTime="2022-02-12T19:10:18" maxSheetId="2" userName="Marcel Riesenbeck" r:id="rId316" minRId="1108" maxRId="1109">
    <sheetIdMap count="1">
      <sheetId val="1"/>
    </sheetIdMap>
  </header>
  <header guid="{BF0D79C2-1DEC-4E3F-95F9-1B414071931F}" dateTime="2022-02-12T19:10:40" maxSheetId="2" userName="Marcel Riesenbeck" r:id="rId317" minRId="1110" maxRId="1111">
    <sheetIdMap count="1">
      <sheetId val="1"/>
    </sheetIdMap>
  </header>
  <header guid="{6EFE4F27-41CD-4528-8E11-FE82A08ED766}" dateTime="2022-02-12T19:11:12" maxSheetId="2" userName="Marcel Riesenbeck" r:id="rId318" minRId="1112" maxRId="1113">
    <sheetIdMap count="1">
      <sheetId val="1"/>
    </sheetIdMap>
  </header>
  <header guid="{A770BA50-B25A-4F24-8896-A94B7E6C17DC}" dateTime="2022-02-12T19:11:29" maxSheetId="2" userName="Marcel Riesenbeck" r:id="rId319" minRId="1114" maxRId="1115">
    <sheetIdMap count="1">
      <sheetId val="1"/>
    </sheetIdMap>
  </header>
  <header guid="{8B0AAC51-3D63-470D-AEA6-ABA8B30733EC}" dateTime="2022-02-12T19:11:46" maxSheetId="2" userName="Marcel Riesenbeck" r:id="rId320" minRId="1116" maxRId="1117">
    <sheetIdMap count="1">
      <sheetId val="1"/>
    </sheetIdMap>
  </header>
  <header guid="{D4F12B15-37B7-49A7-BB91-614996638101}" dateTime="2022-02-12T19:12:29" maxSheetId="2" userName="Marcel Riesenbeck" r:id="rId321" minRId="1118" maxRId="1119">
    <sheetIdMap count="1">
      <sheetId val="1"/>
    </sheetIdMap>
  </header>
  <header guid="{B1B29634-1D2B-4808-B9F4-E03AF46674A8}" dateTime="2022-02-12T19:12:46" maxSheetId="2" userName="Marcel Riesenbeck" r:id="rId322" minRId="1120" maxRId="1121">
    <sheetIdMap count="1">
      <sheetId val="1"/>
    </sheetIdMap>
  </header>
  <header guid="{34318D5B-B2E1-458A-AD59-AEFB4867C597}" dateTime="2022-02-12T19:13:14" maxSheetId="2" userName="Marcel Riesenbeck" r:id="rId323" minRId="1122" maxRId="1123">
    <sheetIdMap count="1">
      <sheetId val="1"/>
    </sheetIdMap>
  </header>
  <header guid="{D545C4C1-A0F7-4286-8946-E764FFCED649}" dateTime="2022-02-12T19:13:41" maxSheetId="2" userName="Marcel Riesenbeck" r:id="rId324" minRId="1124" maxRId="1125">
    <sheetIdMap count="1">
      <sheetId val="1"/>
    </sheetIdMap>
  </header>
  <header guid="{17F8900E-C79E-4EC9-8591-38B9838DBDA9}" dateTime="2022-02-12T19:14:03" maxSheetId="2" userName="Marcel Riesenbeck" r:id="rId325" minRId="1126" maxRId="1127">
    <sheetIdMap count="1">
      <sheetId val="1"/>
    </sheetIdMap>
  </header>
  <header guid="{C9B0A382-AD12-4C7D-91CA-4B02BADFE195}" dateTime="2022-02-12T19:14:30" maxSheetId="2" userName="Marcel Riesenbeck" r:id="rId326" minRId="1128" maxRId="1129">
    <sheetIdMap count="1">
      <sheetId val="1"/>
    </sheetIdMap>
  </header>
  <header guid="{5AE6BB9B-6302-4AA8-ACD4-16B614CC5469}" dateTime="2022-02-12T19:14:42" maxSheetId="2" userName="Marcel Riesenbeck" r:id="rId327" minRId="1130" maxRId="1131">
    <sheetIdMap count="1">
      <sheetId val="1"/>
    </sheetIdMap>
  </header>
  <header guid="{0FE547D0-E482-432C-964B-2F79B1C867B3}" dateTime="2022-02-12T19:14:59" maxSheetId="2" userName="Marcel Riesenbeck" r:id="rId328" minRId="1132" maxRId="1133">
    <sheetIdMap count="1">
      <sheetId val="1"/>
    </sheetIdMap>
  </header>
  <header guid="{6E19DF1F-2B14-4CC9-9EF0-BA5EF1B83E22}" dateTime="2022-02-12T19:15:21" maxSheetId="2" userName="Marcel Riesenbeck" r:id="rId329" minRId="1134" maxRId="1135">
    <sheetIdMap count="1">
      <sheetId val="1"/>
    </sheetIdMap>
  </header>
  <header guid="{50CFC0FB-18D0-468F-BF81-14E58964306C}" dateTime="2022-02-12T19:16:10" maxSheetId="2" userName="Marcel Riesenbeck" r:id="rId330" minRId="1136" maxRId="1137">
    <sheetIdMap count="1">
      <sheetId val="1"/>
    </sheetIdMap>
  </header>
  <header guid="{4DA3ABCA-63F4-41E6-90CC-634633CA5E44}" dateTime="2022-02-12T19:16:22" maxSheetId="2" userName="Marcel Riesenbeck" r:id="rId331" minRId="1138" maxRId="1139">
    <sheetIdMap count="1">
      <sheetId val="1"/>
    </sheetIdMap>
  </header>
  <header guid="{CFF52AA8-6948-4444-B2A4-00800613F9F6}" dateTime="2022-02-12T19:16:44" maxSheetId="2" userName="Marcel Riesenbeck" r:id="rId332" minRId="1140" maxRId="1141">
    <sheetIdMap count="1">
      <sheetId val="1"/>
    </sheetIdMap>
  </header>
  <header guid="{5C5BAD55-E1A9-494C-8823-0DEA240C2508}" dateTime="2022-02-12T19:17:12" maxSheetId="2" userName="Marcel Riesenbeck" r:id="rId333" minRId="1142" maxRId="1143">
    <sheetIdMap count="1">
      <sheetId val="1"/>
    </sheetIdMap>
  </header>
  <header guid="{00B7F100-1E6C-457D-9738-F6B6A9AF7981}" dateTime="2022-02-12T19:17:34" maxSheetId="2" userName="Marcel Riesenbeck" r:id="rId334" minRId="1144" maxRId="1145">
    <sheetIdMap count="1">
      <sheetId val="1"/>
    </sheetIdMap>
  </header>
  <header guid="{F668C635-1325-45CF-9526-19463F65D5F1}" dateTime="2022-02-12T19:17:46" maxSheetId="2" userName="Marcel Riesenbeck" r:id="rId335" minRId="1146" maxRId="1147">
    <sheetIdMap count="1">
      <sheetId val="1"/>
    </sheetIdMap>
  </header>
  <header guid="{29A411AB-856B-41E8-90AD-3CD9FA3987E9}" dateTime="2022-02-12T19:18:34" maxSheetId="2" userName="Marcel Riesenbeck" r:id="rId336" minRId="1148" maxRId="1149">
    <sheetIdMap count="1">
      <sheetId val="1"/>
    </sheetIdMap>
  </header>
  <header guid="{94D60E3F-1735-45DA-B759-11238068FAA7}" dateTime="2022-02-12T19:19:03" maxSheetId="2" userName="Marcel Riesenbeck" r:id="rId337" minRId="1150" maxRId="1151">
    <sheetIdMap count="1">
      <sheetId val="1"/>
    </sheetIdMap>
  </header>
  <header guid="{68D742C9-951E-496D-B242-2901A1A26E63}" dateTime="2022-02-12T19:19:25" maxSheetId="2" userName="Marcel Riesenbeck" r:id="rId338" minRId="1152" maxRId="1153">
    <sheetIdMap count="1">
      <sheetId val="1"/>
    </sheetIdMap>
  </header>
  <header guid="{A01D9D56-4571-46C4-9257-635161A9F6E9}" dateTime="2022-02-12T19:19:41" maxSheetId="2" userName="Marcel Riesenbeck" r:id="rId339" minRId="1154" maxRId="1155">
    <sheetIdMap count="1">
      <sheetId val="1"/>
    </sheetIdMap>
  </header>
  <header guid="{A8D84E19-2347-4A64-BC5A-BDBEBCAE5B22}" dateTime="2022-02-12T19:20:09" maxSheetId="2" userName="Marcel Riesenbeck" r:id="rId340" minRId="1156" maxRId="1157">
    <sheetIdMap count="1">
      <sheetId val="1"/>
    </sheetIdMap>
  </header>
  <header guid="{6D487316-2CF0-47D3-92AA-EFDBA3A73AE6}" dateTime="2022-02-12T19:20:20" maxSheetId="2" userName="Marcel Riesenbeck" r:id="rId341" minRId="1158" maxRId="1159">
    <sheetIdMap count="1">
      <sheetId val="1"/>
    </sheetIdMap>
  </header>
  <header guid="{F31E5980-9925-4443-8162-855064F00460}" dateTime="2022-02-12T19:20:43" maxSheetId="2" userName="Marcel Riesenbeck" r:id="rId342" minRId="1160" maxRId="1161">
    <sheetIdMap count="1">
      <sheetId val="1"/>
    </sheetIdMap>
  </header>
  <header guid="{2CA4BE67-D803-47AB-A060-57F83E938AE8}" dateTime="2022-02-12T19:21:10" maxSheetId="2" userName="Marcel Riesenbeck" r:id="rId343" minRId="1162" maxRId="1163">
    <sheetIdMap count="1">
      <sheetId val="1"/>
    </sheetIdMap>
  </header>
  <header guid="{C629F997-8E37-4035-876B-40ADE7CD2DEF}" dateTime="2022-02-12T19:21:32" maxSheetId="2" userName="Marcel Riesenbeck" r:id="rId344" minRId="1164" maxRId="1165">
    <sheetIdMap count="1">
      <sheetId val="1"/>
    </sheetIdMap>
  </header>
  <header guid="{2D2FD269-EA32-4D41-B8A9-83F467A1BBDB}" dateTime="2022-02-12T19:21:54" maxSheetId="2" userName="Marcel Riesenbeck" r:id="rId345" minRId="1166" maxRId="1167">
    <sheetIdMap count="1">
      <sheetId val="1"/>
    </sheetIdMap>
  </header>
  <header guid="{81799D5E-884B-496E-ABB4-9531B8EE881F}" dateTime="2022-02-12T19:22:16" maxSheetId="2" userName="Marcel Riesenbeck" r:id="rId346" minRId="1168" maxRId="1169">
    <sheetIdMap count="1">
      <sheetId val="1"/>
    </sheetIdMap>
  </header>
  <header guid="{1317BD02-1418-494A-BFBF-C44EB51202A6}" dateTime="2022-02-12T19:22:29" maxSheetId="2" userName="Marcel Riesenbeck" r:id="rId347" minRId="1170" maxRId="1171">
    <sheetIdMap count="1">
      <sheetId val="1"/>
    </sheetIdMap>
  </header>
  <header guid="{B32CC489-A039-4106-95EB-085E60D5F2F2}" dateTime="2022-02-12T19:22:46" maxSheetId="2" userName="Marcel Riesenbeck" r:id="rId348" minRId="1172" maxRId="1173">
    <sheetIdMap count="1">
      <sheetId val="1"/>
    </sheetIdMap>
  </header>
  <header guid="{AD2BE1B6-590B-461D-96AA-ABCDC41ABFEA}" dateTime="2022-02-12T19:23:08" maxSheetId="2" userName="Marcel Riesenbeck" r:id="rId349" minRId="1174" maxRId="1175">
    <sheetIdMap count="1">
      <sheetId val="1"/>
    </sheetIdMap>
  </header>
  <header guid="{D99FAED4-CAC3-4693-8DB4-5AB9DD30F8F9}" dateTime="2022-02-12T19:23:30" maxSheetId="2" userName="Marcel Riesenbeck" r:id="rId350" minRId="1176" maxRId="1177">
    <sheetIdMap count="1">
      <sheetId val="1"/>
    </sheetIdMap>
  </header>
  <header guid="{76350F47-ADFF-4010-95BA-7E559A105375}" dateTime="2022-02-12T19:23:43" maxSheetId="2" userName="Marcel Riesenbeck" r:id="rId351" minRId="1178" maxRId="1179">
    <sheetIdMap count="1">
      <sheetId val="1"/>
    </sheetIdMap>
  </header>
  <header guid="{048527D3-C617-4F7C-AB04-B1E79B1B9ED7}" dateTime="2022-02-12T19:24:00" maxSheetId="2" userName="Marcel Riesenbeck" r:id="rId352" minRId="1180" maxRId="1181">
    <sheetIdMap count="1">
      <sheetId val="1"/>
    </sheetIdMap>
  </header>
  <header guid="{16EA94A2-4428-44FD-8A98-12C13C3DF73F}" dateTime="2022-02-12T19:24:23" maxSheetId="2" userName="Marcel Riesenbeck" r:id="rId353" minRId="1182" maxRId="1183">
    <sheetIdMap count="1">
      <sheetId val="1"/>
    </sheetIdMap>
  </header>
  <header guid="{EEF4315C-2F5A-4DFC-AE26-5D53699ED73C}" dateTime="2022-02-12T19:24:45" maxSheetId="2" userName="Marcel Riesenbeck" r:id="rId354" minRId="1184" maxRId="1185">
    <sheetIdMap count="1">
      <sheetId val="1"/>
    </sheetIdMap>
  </header>
  <header guid="{3EFA89FD-1394-4265-B9BB-B7D2666C5046}" dateTime="2022-02-12T19:25:17" maxSheetId="2" userName="Marcel Riesenbeck" r:id="rId355" minRId="1186" maxRId="1187">
    <sheetIdMap count="1">
      <sheetId val="1"/>
    </sheetIdMap>
  </header>
  <header guid="{3143FA2A-E92E-4739-8ED6-01AF447AE7C6}" dateTime="2022-02-12T19:25:22" maxSheetId="2" userName="Marcel Riesenbeck" r:id="rId356" minRId="1188">
    <sheetIdMap count="1">
      <sheetId val="1"/>
    </sheetIdMap>
  </header>
  <header guid="{BE9C4411-9CBE-470A-A5DA-6CA33FF9185B}" dateTime="2022-02-12T19:25:46" maxSheetId="2" userName="Marcel Riesenbeck" r:id="rId357" minRId="1189" maxRId="1190">
    <sheetIdMap count="1">
      <sheetId val="1"/>
    </sheetIdMap>
  </header>
  <header guid="{05399FA2-FD00-43A6-AB10-CA26DFE08FCB}" dateTime="2022-02-12T19:26:10" maxSheetId="2" userName="Marcel Riesenbeck" r:id="rId358" minRId="1191" maxRId="1192">
    <sheetIdMap count="1">
      <sheetId val="1"/>
    </sheetIdMap>
  </header>
  <header guid="{E00C437B-59C1-4F9E-B71F-556256849203}" dateTime="2022-02-12T19:26:23" maxSheetId="2" userName="Marcel Riesenbeck" r:id="rId359" minRId="1193" maxRId="1194">
    <sheetIdMap count="1">
      <sheetId val="1"/>
    </sheetIdMap>
  </header>
  <header guid="{5D6ABA25-F908-431D-ADAC-C7039545C1AE}" dateTime="2022-02-12T19:26:41" maxSheetId="2" userName="Marcel Riesenbeck" r:id="rId360" minRId="1195" maxRId="1196">
    <sheetIdMap count="1">
      <sheetId val="1"/>
    </sheetIdMap>
  </header>
  <header guid="{B8DF8CC9-E06C-4159-9594-25DAA0A5BFF6}" dateTime="2022-02-12T19:27:05" maxSheetId="2" userName="Marcel Riesenbeck" r:id="rId361" minRId="1197" maxRId="1198">
    <sheetIdMap count="1">
      <sheetId val="1"/>
    </sheetIdMap>
  </header>
  <header guid="{169CE841-EB57-4A71-8AFA-CEAD6DA6BA88}" dateTime="2022-02-12T19:27:27" maxSheetId="2" userName="Marcel Riesenbeck" r:id="rId362" minRId="1199" maxRId="1200">
    <sheetIdMap count="1">
      <sheetId val="1"/>
    </sheetIdMap>
  </header>
  <header guid="{3E1D4EE7-0B11-42C8-9F08-5B54C07D1404}" dateTime="2022-02-12T19:27:55" maxSheetId="2" userName="Marcel Riesenbeck" r:id="rId363" minRId="1201" maxRId="1202">
    <sheetIdMap count="1">
      <sheetId val="1"/>
    </sheetIdMap>
  </header>
  <header guid="{40AA06B6-0EC5-40B8-A2B5-957102712E8D}" dateTime="2022-02-12T19:28:18" maxSheetId="2" userName="Marcel Riesenbeck" r:id="rId364" minRId="1203" maxRId="1204">
    <sheetIdMap count="1">
      <sheetId val="1"/>
    </sheetIdMap>
  </header>
  <header guid="{07F3188F-9AAE-4D12-A127-8A43FED67382}" dateTime="2022-02-12T19:28:30" maxSheetId="2" userName="Marcel Riesenbeck" r:id="rId365" minRId="1205" maxRId="1206">
    <sheetIdMap count="1">
      <sheetId val="1"/>
    </sheetIdMap>
  </header>
  <header guid="{C9E9AE01-00F9-4FB0-9783-85729313184C}" dateTime="2022-02-12T19:28:58" maxSheetId="2" userName="Marcel Riesenbeck" r:id="rId366" minRId="1207" maxRId="1208">
    <sheetIdMap count="1">
      <sheetId val="1"/>
    </sheetIdMap>
  </header>
  <header guid="{DE3073C9-0083-4C24-BF82-E7C929BCC081}" dateTime="2022-02-12T19:29:11" maxSheetId="2" userName="Marcel Riesenbeck" r:id="rId367" minRId="1209" maxRId="1210">
    <sheetIdMap count="1">
      <sheetId val="1"/>
    </sheetIdMap>
  </header>
  <header guid="{DF6A31DB-AD4E-4C89-8459-BD3EEB47880D}" dateTime="2022-02-12T19:29:33" maxSheetId="2" userName="Marcel Riesenbeck" r:id="rId368" minRId="1211" maxRId="1212">
    <sheetIdMap count="1">
      <sheetId val="1"/>
    </sheetIdMap>
  </header>
  <header guid="{4EAF009D-482F-4356-A9B2-C0AC01D279E1}" dateTime="2022-02-12T19:29:56" maxSheetId="2" userName="Marcel Riesenbeck" r:id="rId369" minRId="1213" maxRId="1214">
    <sheetIdMap count="1">
      <sheetId val="1"/>
    </sheetIdMap>
  </header>
  <header guid="{B724A678-393B-4A7E-A92E-54F163163702}" dateTime="2022-02-12T19:30:13" maxSheetId="2" userName="Marcel Riesenbeck" r:id="rId370" minRId="1215" maxRId="1216">
    <sheetIdMap count="1">
      <sheetId val="1"/>
    </sheetIdMap>
  </header>
  <header guid="{7D1C48B4-4350-4E3A-9994-6069BAB225D3}" dateTime="2022-02-12T19:30:41" maxSheetId="2" userName="Marcel Riesenbeck" r:id="rId371" minRId="1217" maxRId="1218">
    <sheetIdMap count="1">
      <sheetId val="1"/>
    </sheetIdMap>
  </header>
  <header guid="{4C293F2A-CEC6-40D9-B5C4-37938BD4BFD3}" dateTime="2022-02-12T19:31:03" maxSheetId="2" userName="Marcel Riesenbeck" r:id="rId372" minRId="1219" maxRId="1220">
    <sheetIdMap count="1">
      <sheetId val="1"/>
    </sheetIdMap>
  </header>
  <header guid="{481D7BE2-ED4D-4B57-9595-04AEE7A8618D}" dateTime="2022-02-12T19:31:27" maxSheetId="2" userName="Marcel Riesenbeck" r:id="rId373" minRId="1221" maxRId="1222">
    <sheetIdMap count="1">
      <sheetId val="1"/>
    </sheetIdMap>
  </header>
  <header guid="{62D78D81-36D9-42C8-84BA-61803A543A9F}" dateTime="2022-02-12T19:31:44" maxSheetId="2" userName="Marcel Riesenbeck" r:id="rId374" minRId="1223" maxRId="1224">
    <sheetIdMap count="1">
      <sheetId val="1"/>
    </sheetIdMap>
  </header>
  <header guid="{0B24CFDF-9994-4023-87EF-4B2A7DEA9C91}" dateTime="2022-02-12T19:32:12" maxSheetId="2" userName="Marcel Riesenbeck" r:id="rId375" minRId="1225" maxRId="1226">
    <sheetIdMap count="1">
      <sheetId val="1"/>
    </sheetIdMap>
  </header>
  <header guid="{E67A8157-CCC4-4A42-93E0-9DB536E5B04B}" dateTime="2022-02-12T19:32:25" maxSheetId="2" userName="Marcel Riesenbeck" r:id="rId376" minRId="1227" maxRId="1228">
    <sheetIdMap count="1">
      <sheetId val="1"/>
    </sheetIdMap>
  </header>
  <header guid="{7FEF344B-BBBA-44CA-B06B-C46B8BEF3B48}" dateTime="2022-02-12T19:32:47" maxSheetId="2" userName="Marcel Riesenbeck" r:id="rId377" minRId="1229" maxRId="1230">
    <sheetIdMap count="1">
      <sheetId val="1"/>
    </sheetIdMap>
  </header>
  <header guid="{CEA0FD7A-0375-4B93-A650-BF9B9D81558F}" dateTime="2022-02-12T19:33:10" maxSheetId="2" userName="Marcel Riesenbeck" r:id="rId378" minRId="1231" maxRId="1232">
    <sheetIdMap count="1">
      <sheetId val="1"/>
    </sheetIdMap>
  </header>
  <header guid="{B3D6BA76-7C00-415C-A225-589CC72AC8AC}" dateTime="2022-02-12T19:33:27" maxSheetId="2" userName="Marcel Riesenbeck" r:id="rId379" minRId="1233" maxRId="1234">
    <sheetIdMap count="1">
      <sheetId val="1"/>
    </sheetIdMap>
  </header>
  <header guid="{2CC43451-4820-47E4-8DD4-6FADD0392482}" dateTime="2022-02-12T19:33:55" maxSheetId="2" userName="Marcel Riesenbeck" r:id="rId380" minRId="1235" maxRId="1236">
    <sheetIdMap count="1">
      <sheetId val="1"/>
    </sheetIdMap>
  </header>
  <header guid="{E3D57BFB-7DC9-4F33-AD06-E55935256FC5}" dateTime="2022-02-12T19:34:23" maxSheetId="2" userName="Marcel Riesenbeck" r:id="rId381" minRId="1237" maxRId="1238">
    <sheetIdMap count="1">
      <sheetId val="1"/>
    </sheetIdMap>
  </header>
  <header guid="{780B11C8-AD25-47AD-9657-A7606A88F8AE}" dateTime="2022-02-12T19:37:17" maxSheetId="2" userName="Marcel Riesenbeck" r:id="rId382" minRId="1239" maxRId="1240">
    <sheetIdMap count="1">
      <sheetId val="1"/>
    </sheetIdMap>
  </header>
  <header guid="{48034542-F6AF-4C0D-A53C-1E6AC529EA37}" dateTime="2022-02-12T19:37:30" maxSheetId="2" userName="Marcel Riesenbeck" r:id="rId383" minRId="1241" maxRId="1242">
    <sheetIdMap count="1">
      <sheetId val="1"/>
    </sheetIdMap>
  </header>
  <header guid="{8F2049F4-DB36-4951-88B4-001D92A2973B}" dateTime="2022-02-12T19:37:44" maxSheetId="2" userName="Marcel Riesenbeck" r:id="rId384" minRId="1243" maxRId="1244">
    <sheetIdMap count="1">
      <sheetId val="1"/>
    </sheetIdMap>
  </header>
  <header guid="{3B5D77CA-A3C5-4280-8C02-9893E0E83523}" dateTime="2022-02-12T19:38:06" maxSheetId="2" userName="Marcel Riesenbeck" r:id="rId385" minRId="1245" maxRId="1246">
    <sheetIdMap count="1">
      <sheetId val="1"/>
    </sheetIdMap>
  </header>
  <header guid="{755D04BF-CDC7-4779-B67B-44E3BC1CDB4E}" dateTime="2022-02-12T19:38:29" maxSheetId="2" userName="Marcel Riesenbeck" r:id="rId386" minRId="1247" maxRId="1248">
    <sheetIdMap count="1">
      <sheetId val="1"/>
    </sheetIdMap>
  </header>
  <header guid="{754D463E-B779-4494-9A29-0CCCC65F2228}" dateTime="2022-02-12T19:38:43" maxSheetId="2" userName="Marcel Riesenbeck" r:id="rId387" minRId="1249" maxRId="1250">
    <sheetIdMap count="1">
      <sheetId val="1"/>
    </sheetIdMap>
  </header>
  <header guid="{FCFE03EF-58F4-4622-892C-FB98DD82DB8C}" dateTime="2022-02-12T19:39:01" maxSheetId="2" userName="Marcel Riesenbeck" r:id="rId388" minRId="1251" maxRId="1252">
    <sheetIdMap count="1">
      <sheetId val="1"/>
    </sheetIdMap>
  </header>
  <header guid="{7BDA9681-8B8F-4E31-B8F6-AFA8FC4768ED}" dateTime="2022-02-12T19:39:25" maxSheetId="2" userName="Marcel Riesenbeck" r:id="rId389" minRId="1253" maxRId="1254">
    <sheetIdMap count="1">
      <sheetId val="1"/>
    </sheetIdMap>
  </header>
  <header guid="{330D6C20-E7BE-4FE2-B459-82525BEDED5E}" dateTime="2022-02-12T19:39:48" maxSheetId="2" userName="Marcel Riesenbeck" r:id="rId390" minRId="1255" maxRId="1256">
    <sheetIdMap count="1">
      <sheetId val="1"/>
    </sheetIdMap>
  </header>
  <header guid="{ADD8DF32-AFC2-4B06-8BD6-4719485C90D6}" dateTime="2022-02-12T19:40:11" maxSheetId="2" userName="Marcel Riesenbeck" r:id="rId391" minRId="1257" maxRId="1258">
    <sheetIdMap count="1">
      <sheetId val="1"/>
    </sheetIdMap>
  </header>
  <header guid="{A32A0165-2246-40C9-AD22-068F096A7D25}" dateTime="2022-02-12T19:40:24" maxSheetId="2" userName="Marcel Riesenbeck" r:id="rId392" minRId="1259" maxRId="1260">
    <sheetIdMap count="1">
      <sheetId val="1"/>
    </sheetIdMap>
  </header>
  <header guid="{2103F187-7B89-4ACA-81EB-B53B60EA03FA}" dateTime="2022-02-12T19:40:42" maxSheetId="2" userName="Marcel Riesenbeck" r:id="rId393" minRId="1261" maxRId="1262">
    <sheetIdMap count="1">
      <sheetId val="1"/>
    </sheetIdMap>
  </header>
  <header guid="{C41D821C-6F13-46EE-AC6B-2564562C9318}" dateTime="2022-02-12T19:41:06" maxSheetId="2" userName="Marcel Riesenbeck" r:id="rId394" minRId="1263" maxRId="1264">
    <sheetIdMap count="1">
      <sheetId val="1"/>
    </sheetIdMap>
  </header>
  <header guid="{C927BF11-D7AD-41DC-B352-BD2AADDC904E}" dateTime="2022-02-12T19:41:30" maxSheetId="2" userName="Marcel Riesenbeck" r:id="rId395" minRId="1265" maxRId="1266">
    <sheetIdMap count="1">
      <sheetId val="1"/>
    </sheetIdMap>
  </header>
  <header guid="{C4FB9147-CE8D-4FE2-AC07-56B641DE4649}" dateTime="2022-02-12T19:41:58" maxSheetId="2" userName="Marcel Riesenbeck" r:id="rId396" minRId="1267" maxRId="1268">
    <sheetIdMap count="1">
      <sheetId val="1"/>
    </sheetIdMap>
  </header>
  <header guid="{0D7BF727-C315-4B7C-8453-857891B3DCA6}" dateTime="2022-02-12T19:42:21" maxSheetId="2" userName="Marcel Riesenbeck" r:id="rId397" minRId="1269" maxRId="1270">
    <sheetIdMap count="1">
      <sheetId val="1"/>
    </sheetIdMap>
  </header>
  <header guid="{2D7DE66A-A468-4B45-80AB-2D917DA0EDC8}" dateTime="2022-02-12T19:42:45" maxSheetId="2" userName="Marcel Riesenbeck" r:id="rId398" minRId="1271" maxRId="1272">
    <sheetIdMap count="1">
      <sheetId val="1"/>
    </sheetIdMap>
  </header>
  <header guid="{B750F56E-5C43-4F07-8A03-506C9349D2E0}" dateTime="2022-02-12T19:42:52" maxSheetId="2" userName="Marcel Riesenbeck" r:id="rId399" minRId="1273" maxRId="1509">
    <sheetIdMap count="1">
      <sheetId val="1"/>
    </sheetIdMap>
  </header>
  <header guid="{25E8B830-406C-4085-8629-01A4732FF340}" dateTime="2022-02-12T19:43:04" maxSheetId="2" userName="Marcel Riesenbeck" r:id="rId400" minRId="1510" maxRId="1511">
    <sheetIdMap count="1">
      <sheetId val="1"/>
    </sheetIdMap>
  </header>
  <header guid="{A42AE131-43FC-4C81-88D7-59867E271C4D}" dateTime="2022-02-12T19:43:34" maxSheetId="2" userName="Marcel Riesenbeck" r:id="rId401" minRId="1512" maxRId="1513">
    <sheetIdMap count="1">
      <sheetId val="1"/>
    </sheetIdMap>
  </header>
  <header guid="{6FFE92B7-6454-4819-909F-5DFE0255AF8F}" dateTime="2022-02-12T19:43:48" maxSheetId="2" userName="Marcel Riesenbeck" r:id="rId402" minRId="1514" maxRId="1614">
    <sheetIdMap count="1">
      <sheetId val="1"/>
    </sheetIdMap>
  </header>
  <header guid="{5F36DA4E-8349-4108-835B-FCA9111CE4E6}" dateTime="2022-02-12T19:43:57" maxSheetId="2" userName="Marcel Riesenbeck" r:id="rId403" minRId="1615" maxRId="1616">
    <sheetIdMap count="1">
      <sheetId val="1"/>
    </sheetIdMap>
  </header>
  <header guid="{29326DFB-1A49-43D8-B849-CF8E2BDB1F7F}" dateTime="2022-02-12T19:44:15" maxSheetId="2" userName="Marcel Riesenbeck" r:id="rId404" minRId="1617" maxRId="1618">
    <sheetIdMap count="1">
      <sheetId val="1"/>
    </sheetIdMap>
  </header>
  <header guid="{EBCA2E91-9832-442D-B869-2DF05D48C51F}" dateTime="2022-02-12T19:44:44" maxSheetId="2" userName="Marcel Riesenbeck" r:id="rId405" minRId="1619" maxRId="1620">
    <sheetIdMap count="1">
      <sheetId val="1"/>
    </sheetIdMap>
  </header>
  <header guid="{FAFDA114-9C4A-4DAC-95F4-8B59D338B5BE}" dateTime="2022-02-12T19:45:13" maxSheetId="2" userName="Marcel Riesenbeck" r:id="rId406" minRId="1621" maxRId="1622">
    <sheetIdMap count="1">
      <sheetId val="1"/>
    </sheetIdMap>
  </header>
  <header guid="{D9BE0926-32AC-4D05-AFA4-13E59378A2DB}" dateTime="2022-02-12T19:45:26" maxSheetId="2" userName="Marcel Riesenbeck" r:id="rId407" minRId="1623" maxRId="1624">
    <sheetIdMap count="1">
      <sheetId val="1"/>
    </sheetIdMap>
  </header>
  <header guid="{F5321252-F628-4131-A485-0FD7F45D5C13}" dateTime="2022-02-12T19:45:50" maxSheetId="2" userName="Marcel Riesenbeck" r:id="rId408" minRId="1625" maxRId="1626">
    <sheetIdMap count="1">
      <sheetId val="1"/>
    </sheetIdMap>
  </header>
  <header guid="{D70AC111-CB03-47A4-80DD-241F42E4076F}" dateTime="2022-02-12T19:46:05" maxSheetId="2" userName="Marcel Riesenbeck" r:id="rId409" minRId="1627" maxRId="1639">
    <sheetIdMap count="1">
      <sheetId val="1"/>
    </sheetIdMap>
  </header>
  <header guid="{128292A7-7015-4BB6-ACDD-9DFEE2001A05}" dateTime="2022-02-12T19:46:19" maxSheetId="2" userName="Marcel Riesenbeck" r:id="rId410" minRId="1640" maxRId="1641">
    <sheetIdMap count="1">
      <sheetId val="1"/>
    </sheetIdMap>
  </header>
  <header guid="{5ABDC571-668E-4D97-9005-46EEC812A720}" dateTime="2022-02-12T19:46:42" maxSheetId="2" userName="Marcel Riesenbeck" r:id="rId411" minRId="1642" maxRId="1643">
    <sheetIdMap count="1">
      <sheetId val="1"/>
    </sheetIdMap>
  </header>
</headers>
</file>

<file path=xl/revisions/revisionLog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07" sId="1" numFmtId="25">
    <nc r="A20">
      <v>0.86089120370370376</v>
    </nc>
  </rcc>
  <rcc rId="208" sId="1">
    <nc r="B20">
      <v>1416</v>
    </nc>
  </rcc>
</revisions>
</file>

<file path=xl/revisions/revisionLog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09" sId="1" numFmtId="25">
    <nc r="A21">
      <v>0.8621064814814815</v>
    </nc>
  </rcc>
  <rcc rId="210" sId="1">
    <nc r="B21">
      <v>1396</v>
    </nc>
  </rcc>
</revisions>
</file>

<file path=xl/revisions/revisionLog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11" sId="1" numFmtId="25">
    <nc r="A22">
      <v>0.86319444444444438</v>
    </nc>
  </rcc>
  <rcc rId="212" sId="1">
    <nc r="B22">
      <v>1382</v>
    </nc>
  </rcc>
</revisions>
</file>

<file path=xl/revisions/revisionLog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13" sId="1" numFmtId="25">
    <nc r="A23">
      <v>0.86440972222222223</v>
    </nc>
  </rcc>
  <rcc rId="214" sId="1">
    <nc r="B23">
      <v>1364</v>
    </nc>
  </rcc>
</revisions>
</file>

<file path=xl/revisions/revisionLog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15" sId="1" numFmtId="25">
    <nc r="A24">
      <v>0.86574074074074081</v>
    </nc>
  </rcc>
  <rcc rId="216" sId="1">
    <nc r="B24">
      <v>1346</v>
    </nc>
  </rcc>
</revisions>
</file>

<file path=xl/revisions/revisionLog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17" sId="1" numFmtId="25">
    <nc r="A25">
      <v>0.86684027777777783</v>
    </nc>
  </rcc>
  <rcc rId="218" sId="1">
    <nc r="B25">
      <v>1335</v>
    </nc>
  </rcc>
</revisions>
</file>

<file path=xl/revisions/revisionLog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19" sId="1" numFmtId="25">
    <nc r="A26">
      <v>0.86793981481481486</v>
    </nc>
  </rcc>
  <rcc rId="220" sId="1">
    <nc r="B26">
      <v>1302</v>
    </nc>
  </rcc>
</revisions>
</file>

<file path=xl/revisions/revisionLog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21" sId="1" numFmtId="25">
    <nc r="A27">
      <v>0.86891203703703701</v>
    </nc>
  </rcc>
  <rcc rId="222" sId="1">
    <nc r="B27">
      <v>1296</v>
    </nc>
  </rcc>
</revisions>
</file>

<file path=xl/revisions/revisionLog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23" sId="1" numFmtId="25">
    <nc r="A28">
      <v>0.87035879629629631</v>
    </nc>
  </rcc>
  <rcc rId="224" sId="1">
    <nc r="B28" t="inlineStr">
      <is>
        <t>C)</t>
      </is>
    </nc>
  </rcc>
</revisions>
</file>

<file path=xl/revisions/revisionLog1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25" sId="1" numFmtId="25">
    <nc r="A29">
      <v>0.87310185185185185</v>
    </nc>
  </rcc>
  <rcc rId="226" sId="1">
    <nc r="B29" t="inlineStr">
      <is>
        <t>Pr</t>
      </is>
    </nc>
  </rcc>
</revisions>
</file>

<file path=xl/revisions/revisionLog1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27" sId="1" numFmtId="25">
    <nc r="A30">
      <v>0.87714120370370363</v>
    </nc>
  </rcc>
  <rcc rId="228" sId="1">
    <nc r="B30" t="inlineStr">
      <is>
        <t>iiääiääiääiiäi</t>
      </is>
    </nc>
  </rcc>
</revisions>
</file>

<file path=xl/revisions/revisionLog1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29" sId="1" numFmtId="25">
    <nc r="A31">
      <v>0.88164351851851841</v>
    </nc>
  </rcc>
  <rcc rId="230" sId="1">
    <nc r="B31" t="inlineStr">
      <is>
        <t>C)</t>
      </is>
    </nc>
  </rcc>
</revisions>
</file>

<file path=xl/revisions/revisionLog1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31" sId="1" numFmtId="25">
    <nc r="A32">
      <v>0.88249999999999995</v>
    </nc>
  </rcc>
  <rcc rId="232" sId="1">
    <nc r="B32">
      <v>1062</v>
    </nc>
  </rcc>
</revisions>
</file>

<file path=xl/revisions/revisionLog1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33" sId="1" numFmtId="25">
    <nc r="A33">
      <v>0.88299768518518518</v>
    </nc>
  </rcc>
  <rcc rId="234" sId="1">
    <nc r="B33">
      <v>1035</v>
    </nc>
  </rcc>
</revisions>
</file>

<file path=xl/revisions/revisionLog1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35" sId="1" numFmtId="25">
    <nc r="A34">
      <v>0.88396990740740744</v>
    </nc>
  </rcc>
  <rcc rId="236" sId="1">
    <nc r="B34">
      <v>1001</v>
    </nc>
  </rcc>
</revisions>
</file>

<file path=xl/revisions/revisionLog1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37" sId="1" numFmtId="25">
    <nc r="A35">
      <v>0.88541666666666663</v>
    </nc>
  </rcc>
  <rcc rId="238" sId="1">
    <nc r="B35">
      <v>970</v>
    </nc>
  </rcc>
</revisions>
</file>

<file path=xl/revisions/revisionLog1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75" sId="1" numFmtId="25">
    <oc r="A19">
      <v>0.9877893518518519</v>
    </oc>
    <nc r="A19"/>
  </rcc>
  <rcc rId="176" sId="1">
    <oc r="B19">
      <v>122</v>
    </oc>
    <nc r="B19"/>
  </rcc>
  <rcc rId="177" sId="1" numFmtId="25">
    <oc r="A20">
      <v>0.9881712962962963</v>
    </oc>
    <nc r="A20"/>
  </rcc>
  <rcc rId="178" sId="1">
    <oc r="B20">
      <v>121</v>
    </oc>
    <nc r="B20"/>
  </rcc>
  <rcc rId="179" sId="1" numFmtId="25">
    <oc r="A21">
      <v>0.98855324074074069</v>
    </oc>
    <nc r="A21"/>
  </rcc>
  <rcc rId="180" sId="1">
    <oc r="B21">
      <v>113</v>
    </oc>
    <nc r="B21"/>
  </rcc>
  <rcc rId="181" sId="1" numFmtId="25">
    <oc r="A22">
      <v>0.98903935185185177</v>
    </oc>
    <nc r="A22"/>
  </rcc>
  <rcc rId="182" sId="1">
    <oc r="B22">
      <v>109</v>
    </oc>
    <nc r="B22"/>
  </rcc>
  <rcc rId="183" sId="1" numFmtId="25">
    <oc r="A23">
      <v>0.98942129629629638</v>
    </oc>
    <nc r="A23"/>
  </rcc>
  <rcc rId="184" sId="1">
    <oc r="B23">
      <v>107</v>
    </oc>
    <nc r="B23"/>
  </rcc>
  <rcc rId="185" sId="1" numFmtId="25">
    <oc r="A24">
      <v>0.98956018518518529</v>
    </oc>
    <nc r="A24"/>
  </rcc>
  <rcc rId="186" sId="1">
    <oc r="B24">
      <v>101</v>
    </oc>
    <nc r="B24"/>
  </rcc>
  <rcc rId="187" sId="1" numFmtId="25">
    <oc r="A25">
      <v>0.98982638888888896</v>
    </oc>
    <nc r="A25"/>
  </rcc>
  <rcc rId="188" sId="1">
    <oc r="B25">
      <v>94</v>
    </oc>
    <nc r="B25"/>
  </rcc>
  <rcc rId="189" sId="1" numFmtId="25">
    <oc r="A26">
      <v>0.9900810185185186</v>
    </oc>
    <nc r="A26"/>
  </rcc>
  <rcc rId="190" sId="1">
    <oc r="B26">
      <v>93</v>
    </oc>
    <nc r="B26"/>
  </rcc>
  <rcc rId="191" sId="1" numFmtId="25">
    <oc r="A27">
      <v>0.99023148148148143</v>
    </oc>
    <nc r="A27"/>
  </rcc>
  <rcc rId="192" sId="1">
    <oc r="B27">
      <v>76</v>
    </oc>
    <nc r="B27"/>
  </rcc>
  <rcc rId="193" sId="1" numFmtId="25">
    <oc r="A28">
      <v>0.99107638888888883</v>
    </oc>
    <nc r="A28"/>
  </rcc>
  <rcc rId="194" sId="1">
    <oc r="B28">
      <v>66</v>
    </oc>
    <nc r="B28"/>
  </rcc>
  <rcc rId="195" sId="1" numFmtId="25">
    <oc r="A29">
      <v>0.99122685185185189</v>
    </oc>
    <nc r="A29"/>
  </rcc>
  <rcc rId="196" sId="1">
    <oc r="B29">
      <v>64</v>
    </oc>
    <nc r="B29"/>
  </rcc>
  <rcc rId="197" sId="1" numFmtId="25">
    <oc r="A30">
      <v>0.99149305555555556</v>
    </oc>
    <nc r="A30"/>
  </rcc>
  <rcc rId="198" sId="1">
    <oc r="B30">
      <v>59</v>
    </oc>
    <nc r="B30"/>
  </rcc>
  <rcc rId="199" sId="1" numFmtId="25">
    <oc r="A31">
      <v>0.99222222222222223</v>
    </oc>
    <nc r="A31"/>
  </rcc>
  <rcc rId="200" sId="1">
    <oc r="B31">
      <v>46</v>
    </oc>
    <nc r="B31"/>
  </rcc>
  <rcc rId="201" sId="1" numFmtId="25">
    <oc r="A32">
      <v>0.99273148148148149</v>
    </oc>
    <nc r="A32"/>
  </rcc>
  <rcc rId="202" sId="1">
    <oc r="B32">
      <v>40</v>
    </oc>
    <nc r="B32"/>
  </rcc>
  <rcc rId="203" sId="1" numFmtId="25">
    <oc r="A33">
      <v>0.99358796296296292</v>
    </oc>
    <nc r="A33"/>
  </rcc>
  <rcc rId="204" sId="1">
    <oc r="B33">
      <v>24</v>
    </oc>
    <nc r="B33"/>
  </rcc>
</revisions>
</file>

<file path=xl/revisions/revisionLog1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05" sId="1" numFmtId="25">
    <nc r="A19">
      <v>0.85979166666666673</v>
    </nc>
  </rcc>
  <rcc rId="206" sId="1">
    <nc r="B19">
      <v>1428</v>
    </nc>
  </rcc>
</revisions>
</file>

<file path=xl/revisions/revisionLog1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39" sId="1" numFmtId="25">
    <nc r="A36">
      <v>0.88650462962962961</v>
    </nc>
  </rcc>
  <rcc rId="240" sId="1">
    <nc r="B36">
      <v>964</v>
    </nc>
  </rcc>
</revisions>
</file>

<file path=xl/revisions/revisionLog2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41" sId="1" numFmtId="25">
    <nc r="A37">
      <v>0.88747685185185177</v>
    </nc>
  </rcc>
  <rcc rId="242" sId="1">
    <nc r="B37">
      <v>945</v>
    </nc>
  </rcc>
</revisions>
</file>

<file path=xl/revisions/revisionLog2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43" sId="1" numFmtId="25">
    <nc r="A38">
      <v>0.88869212962962962</v>
    </nc>
  </rcc>
  <rcc rId="244" sId="1">
    <nc r="B38">
      <v>924</v>
    </nc>
  </rcc>
</revisions>
</file>

<file path=xl/revisions/revisionLog2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45" sId="1" numFmtId="25">
    <nc r="A39">
      <v>0.88967592592592604</v>
    </nc>
  </rcc>
  <rcc rId="246" sId="1">
    <nc r="B39">
      <v>911</v>
    </nc>
  </rcc>
</revisions>
</file>

<file path=xl/revisions/revisionLog2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47" sId="1" numFmtId="25">
    <nc r="A40">
      <v>0.89101851851851854</v>
    </nc>
  </rcc>
  <rcc rId="248" sId="1">
    <nc r="B40">
      <v>886</v>
    </nc>
  </rcc>
</revisions>
</file>

<file path=xl/revisions/revisionLog2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49" sId="1" numFmtId="25">
    <nc r="A41">
      <v>0.8919907407407407</v>
    </nc>
  </rcc>
  <rcc rId="250" sId="1">
    <nc r="B41">
      <v>869</v>
    </nc>
  </rcc>
</revisions>
</file>

<file path=xl/revisions/revisionLog2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51" sId="1" numFmtId="25">
    <nc r="A42">
      <v>0.89296296296296296</v>
    </nc>
  </rcc>
  <rcc rId="252" sId="1">
    <nc r="B42">
      <v>832</v>
    </nc>
  </rcc>
</revisions>
</file>

<file path=xl/revisions/revisionLog2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53" sId="1" numFmtId="25">
    <nc r="A43">
      <v>0.89393518518518522</v>
    </nc>
  </rcc>
  <rcc rId="254" sId="1">
    <nc r="B43">
      <v>804</v>
    </nc>
  </rcc>
</revisions>
</file>

<file path=xl/revisions/revisionLog2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55" sId="1" numFmtId="25">
    <nc r="A44">
      <v>0.89479166666666676</v>
    </nc>
  </rcc>
  <rcc rId="256" sId="1">
    <nc r="B44">
      <v>771</v>
    </nc>
  </rcc>
</revisions>
</file>

<file path=xl/revisions/revisionLog2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57" sId="1" numFmtId="25">
    <nc r="A45">
      <v>0.89554398148148151</v>
    </nc>
  </rcc>
  <rcc rId="258" sId="1">
    <nc r="B45">
      <v>726</v>
    </nc>
  </rcc>
</revisions>
</file>

<file path=xl/revisions/revisionLog2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59" sId="1" numFmtId="25">
    <nc r="A46">
      <v>0.8965277777777777</v>
    </nc>
  </rcc>
  <rcc rId="260" sId="1">
    <nc r="B46">
      <v>696</v>
    </nc>
  </rcc>
</revisions>
</file>

<file path=xl/revisions/revisionLog3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61" sId="1" numFmtId="25">
    <nc r="A47">
      <v>0.89714120370370365</v>
    </nc>
  </rcc>
  <rcc rId="262" sId="1">
    <nc r="B47">
      <v>676</v>
    </nc>
  </rcc>
</revisions>
</file>

<file path=xl/revisions/revisionLog3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63" sId="1" numFmtId="25">
    <nc r="A48">
      <v>0.89800925925925934</v>
    </nc>
  </rcc>
  <rcc rId="264" sId="1">
    <nc r="B48">
      <v>661</v>
    </nc>
  </rcc>
</revisions>
</file>

<file path=xl/revisions/revisionLog3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65" sId="1" numFmtId="25">
    <nc r="A49">
      <v>0.89875000000000005</v>
    </nc>
  </rcc>
  <rcc rId="266" sId="1">
    <nc r="B49">
      <v>651</v>
    </nc>
  </rcc>
</revisions>
</file>

<file path=xl/revisions/revisionLog3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67" sId="1" numFmtId="25">
    <nc r="A50">
      <v>0.89949074074074076</v>
    </nc>
  </rcc>
  <rcc rId="268" sId="1">
    <nc r="B50">
      <v>634</v>
    </nc>
  </rcc>
</revisions>
</file>

<file path=xl/revisions/revisionLog3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69" sId="1" numFmtId="25">
    <nc r="A51">
      <v>0.90023148148148147</v>
    </nc>
  </rcc>
  <rcc rId="270" sId="1">
    <nc r="B51">
      <v>624</v>
    </nc>
  </rcc>
</revisions>
</file>

<file path=xl/revisions/revisionLog3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71" sId="1" numFmtId="25">
    <nc r="A52">
      <v>0.90097222222222229</v>
    </nc>
  </rcc>
  <rcc rId="272" sId="1">
    <nc r="B52">
      <v>605</v>
    </nc>
  </rcc>
</revisions>
</file>

<file path=xl/revisions/revisionLog3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73" sId="1" odxf="1" dxf="1" numFmtId="26">
    <nc r="A53">
      <v>0.90159722222222216</v>
    </nc>
    <odxf>
      <numFmt numFmtId="0" formatCode="General"/>
    </odxf>
    <ndxf>
      <numFmt numFmtId="26" formatCode="hh:mm:ss"/>
    </ndxf>
  </rcc>
  <rcc rId="274" sId="1">
    <nc r="B53">
      <v>588</v>
    </nc>
  </rcc>
</revisions>
</file>

<file path=xl/revisions/revisionLog3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75" sId="1" odxf="1" dxf="1" numFmtId="26">
    <nc r="A54">
      <v>0.90246527777777785</v>
    </nc>
    <odxf>
      <numFmt numFmtId="0" formatCode="General"/>
    </odxf>
    <ndxf>
      <numFmt numFmtId="26" formatCode="hh:mm:ss"/>
    </ndxf>
  </rcc>
  <rcc rId="276" sId="1">
    <nc r="B54">
      <v>573</v>
    </nc>
  </rcc>
</revisions>
</file>

<file path=xl/revisions/revisionLog3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77" sId="1" odxf="1" dxf="1" numFmtId="26">
    <nc r="A55">
      <v>0.90307870370370369</v>
    </nc>
    <odxf>
      <numFmt numFmtId="0" formatCode="General"/>
    </odxf>
    <ndxf>
      <numFmt numFmtId="26" formatCode="hh:mm:ss"/>
    </ndxf>
  </rcc>
  <rcc rId="278" sId="1">
    <nc r="B55">
      <v>562</v>
    </nc>
  </rcc>
</revisions>
</file>

<file path=xl/revisions/revisionLog3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79" sId="1" odxf="1" dxf="1" numFmtId="26">
    <nc r="A56">
      <v>0.9038194444444444</v>
    </nc>
    <odxf>
      <numFmt numFmtId="0" formatCode="General"/>
    </odxf>
    <ndxf>
      <numFmt numFmtId="26" formatCode="hh:mm:ss"/>
    </ndxf>
  </rcc>
  <rcc rId="280" sId="1">
    <nc r="B56">
      <v>535</v>
    </nc>
  </rcc>
</revisions>
</file>

<file path=xl/revisions/revisionLog4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81" sId="1" odxf="1" dxf="1" numFmtId="26">
    <nc r="A57">
      <v>0.90456018518518511</v>
    </nc>
    <odxf>
      <numFmt numFmtId="0" formatCode="General"/>
    </odxf>
    <ndxf>
      <numFmt numFmtId="26" formatCode="hh:mm:ss"/>
    </ndxf>
  </rcc>
  <rcc rId="282" sId="1">
    <nc r="B57">
      <v>517</v>
    </nc>
  </rcc>
</revisions>
</file>

<file path=xl/revisions/revisionLog4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83" sId="1" odxf="1" dxf="1" numFmtId="26">
    <nc r="A58">
      <v>0.90530092592592604</v>
    </nc>
    <odxf>
      <numFmt numFmtId="0" formatCode="General"/>
    </odxf>
    <ndxf>
      <numFmt numFmtId="26" formatCode="hh:mm:ss"/>
    </ndxf>
  </rcc>
  <rcc rId="284" sId="1">
    <nc r="B58" t="inlineStr">
      <is>
        <t>Name</t>
      </is>
    </nc>
  </rcc>
</revisions>
</file>

<file path=xl/revisions/revisionLog4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85" sId="1" odxf="1" dxf="1" numFmtId="26">
    <nc r="A59">
      <v>0.90747685185185178</v>
    </nc>
    <odxf>
      <numFmt numFmtId="0" formatCode="General"/>
    </odxf>
    <ndxf>
      <numFmt numFmtId="26" formatCode="hh:mm:ss"/>
    </ndxf>
  </rcc>
  <rcc rId="286" sId="1">
    <nc r="B59">
      <v>429</v>
    </nc>
  </rcc>
</revisions>
</file>

<file path=xl/revisions/revisionLog4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87" sId="1" odxf="1" dxf="1" numFmtId="26">
    <nc r="A60">
      <v>0.9078587962962964</v>
    </nc>
    <odxf>
      <numFmt numFmtId="0" formatCode="General"/>
    </odxf>
    <ndxf>
      <numFmt numFmtId="26" formatCode="hh:mm:ss"/>
    </ndxf>
  </rcc>
  <rcc rId="288" sId="1">
    <nc r="B60">
      <v>411</v>
    </nc>
  </rcc>
</revisions>
</file>

<file path=xl/revisions/revisionLog4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89" sId="1" odxf="1" dxf="1" numFmtId="26">
    <nc r="A61">
      <v>0.90812500000000007</v>
    </nc>
    <odxf>
      <numFmt numFmtId="0" formatCode="General"/>
    </odxf>
    <ndxf>
      <numFmt numFmtId="26" formatCode="hh:mm:ss"/>
    </ndxf>
  </rcc>
  <rcc rId="290" sId="1">
    <nc r="B61">
      <v>401</v>
    </nc>
  </rcc>
</revisions>
</file>

<file path=xl/revisions/revisionLog4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91" sId="1" odxf="1" dxf="1" numFmtId="26">
    <nc r="A62">
      <v>0.90862268518518519</v>
    </nc>
    <odxf>
      <numFmt numFmtId="0" formatCode="General"/>
    </odxf>
    <ndxf>
      <numFmt numFmtId="26" formatCode="hh:mm:ss"/>
    </ndxf>
  </rcc>
  <rcc rId="292" sId="1">
    <nc r="B62">
      <v>398</v>
    </nc>
  </rcc>
</revisions>
</file>

<file path=xl/revisions/revisionLog4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93" sId="1" odxf="1" dxf="1" numFmtId="26">
    <nc r="A63">
      <v>0.90913194444444445</v>
    </nc>
    <odxf>
      <numFmt numFmtId="0" formatCode="General"/>
    </odxf>
    <ndxf>
      <numFmt numFmtId="26" formatCode="hh:mm:ss"/>
    </ndxf>
  </rcc>
  <rcc rId="294" sId="1">
    <nc r="B63">
      <v>387</v>
    </nc>
  </rcc>
</revisions>
</file>

<file path=xl/revisions/revisionLog4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95" sId="1" odxf="1" dxf="1" numFmtId="26">
    <nc r="A64">
      <v>0.90962962962962957</v>
    </nc>
    <odxf>
      <numFmt numFmtId="0" formatCode="General"/>
    </odxf>
    <ndxf>
      <numFmt numFmtId="26" formatCode="hh:mm:ss"/>
    </ndxf>
  </rcc>
  <rcc rId="296" sId="1">
    <nc r="B64">
      <v>364</v>
    </nc>
  </rcc>
</revisions>
</file>

<file path=xl/revisions/revisionLog4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97" sId="1" odxf="1" dxf="1" numFmtId="26">
    <nc r="A65">
      <v>0.91013888888888894</v>
    </nc>
    <odxf>
      <numFmt numFmtId="0" formatCode="General"/>
    </odxf>
    <ndxf>
      <numFmt numFmtId="26" formatCode="hh:mm:ss"/>
    </ndxf>
  </rcc>
  <rcc rId="298" sId="1">
    <nc r="B65">
      <v>354</v>
    </nc>
  </rcc>
</revisions>
</file>

<file path=xl/revisions/revisionLog4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99" sId="1" odxf="1" dxf="1" numFmtId="26">
    <nc r="A66">
      <v>0.91063657407407417</v>
    </nc>
    <odxf>
      <numFmt numFmtId="0" formatCode="General"/>
    </odxf>
    <ndxf>
      <numFmt numFmtId="26" formatCode="hh:mm:ss"/>
    </ndxf>
  </rcc>
  <rcc rId="300" sId="1">
    <nc r="B66">
      <v>353</v>
    </nc>
  </rcc>
</revisions>
</file>

<file path=xl/revisions/revisionLog5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01" sId="1" odxf="1" dxf="1" numFmtId="26">
    <nc r="A67">
      <v>0.91114583333333332</v>
    </nc>
    <odxf>
      <numFmt numFmtId="0" formatCode="General"/>
    </odxf>
    <ndxf>
      <numFmt numFmtId="26" formatCode="hh:mm:ss"/>
    </ndxf>
  </rcc>
  <rcc rId="302" sId="1">
    <nc r="B67">
      <v>333</v>
    </nc>
  </rcc>
</revisions>
</file>

<file path=xl/revisions/revisionLog5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03" sId="1" odxf="1" dxf="1" numFmtId="26">
    <nc r="A68">
      <v>0.91164351851851855</v>
    </nc>
    <odxf>
      <numFmt numFmtId="0" formatCode="General"/>
    </odxf>
    <ndxf>
      <numFmt numFmtId="26" formatCode="hh:mm:ss"/>
    </ndxf>
  </rcc>
  <rcc rId="304" sId="1">
    <nc r="B68">
      <v>299</v>
    </nc>
  </rcc>
</revisions>
</file>

<file path=xl/revisions/revisionLog5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05" sId="1" odxf="1" dxf="1" numFmtId="26">
    <nc r="A69">
      <v>0.91214120370370377</v>
    </nc>
    <odxf>
      <numFmt numFmtId="0" formatCode="General"/>
    </odxf>
    <ndxf>
      <numFmt numFmtId="26" formatCode="hh:mm:ss"/>
    </ndxf>
  </rcc>
  <rcc rId="306" sId="1">
    <nc r="B69">
      <v>283</v>
    </nc>
  </rcc>
</revisions>
</file>

<file path=xl/revisions/revisionLog5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07" sId="1" odxf="1" dxf="1" numFmtId="26">
    <nc r="A70">
      <v>0.91229166666666661</v>
    </nc>
    <odxf>
      <numFmt numFmtId="0" formatCode="General"/>
    </odxf>
    <ndxf>
      <numFmt numFmtId="26" formatCode="hh:mm:ss"/>
    </ndxf>
  </rcc>
  <rcc rId="308" sId="1">
    <nc r="B70" t="inlineStr">
      <is>
        <t>np</t>
      </is>
    </nc>
  </rcc>
</revisions>
</file>

<file path=xl/revisions/revisionLog5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09" sId="1" odxf="1" dxf="1" numFmtId="26">
    <nc r="A71">
      <v>0.91267361111111101</v>
    </nc>
    <odxf>
      <numFmt numFmtId="0" formatCode="General"/>
    </odxf>
    <ndxf>
      <numFmt numFmtId="26" formatCode="hh:mm:ss"/>
    </ndxf>
  </rcc>
  <rcc rId="310" sId="1">
    <nc r="B71">
      <v>267</v>
    </nc>
  </rcc>
</revisions>
</file>

<file path=xl/revisions/revisionLog5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1" sId="1" odxf="1" dxf="1" numFmtId="26">
    <nc r="A72">
      <v>0.91414351851851849</v>
    </nc>
    <odxf>
      <numFmt numFmtId="0" formatCode="General"/>
    </odxf>
    <ndxf>
      <numFmt numFmtId="26" formatCode="hh:mm:ss"/>
    </ndxf>
  </rcc>
  <rcc rId="312" sId="1">
    <nc r="B72">
      <v>200</v>
    </nc>
  </rcc>
</revisions>
</file>

<file path=xl/revisions/revisionLog5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3" sId="1" odxf="1" dxf="1" numFmtId="26">
    <nc r="A73">
      <v>0.91465277777777787</v>
    </nc>
    <odxf>
      <numFmt numFmtId="0" formatCode="General"/>
    </odxf>
    <ndxf>
      <numFmt numFmtId="26" formatCode="hh:mm:ss"/>
    </ndxf>
  </rcc>
  <rcc rId="314" sId="1">
    <nc r="B73">
      <v>184</v>
    </nc>
  </rcc>
</revisions>
</file>

<file path=xl/revisions/revisionLog5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5" sId="1" odxf="1" dxf="1" numFmtId="26">
    <nc r="A74">
      <v>0.91503472222222226</v>
    </nc>
    <odxf>
      <numFmt numFmtId="0" formatCode="General"/>
    </odxf>
    <ndxf>
      <numFmt numFmtId="26" formatCode="hh:mm:ss"/>
    </ndxf>
  </rcc>
  <rcc rId="316" sId="1">
    <nc r="B74">
      <v>164</v>
    </nc>
  </rcc>
</revisions>
</file>

<file path=xl/revisions/revisionLog5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7" sId="1" odxf="1" dxf="1" numFmtId="26">
    <nc r="A75">
      <v>0.91530092592592593</v>
    </nc>
    <odxf>
      <numFmt numFmtId="0" formatCode="General"/>
    </odxf>
    <ndxf>
      <numFmt numFmtId="26" formatCode="hh:mm:ss"/>
    </ndxf>
  </rcc>
  <rcc rId="318" sId="1">
    <nc r="B75">
      <v>157</v>
    </nc>
  </rcc>
</revisions>
</file>

<file path=xl/revisions/revisionLog5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9" sId="1" odxf="1" dxf="1" numFmtId="26">
    <nc r="A76">
      <v>0.91581018518518509</v>
    </nc>
    <odxf>
      <numFmt numFmtId="0" formatCode="General"/>
    </odxf>
    <ndxf>
      <numFmt numFmtId="26" formatCode="hh:mm:ss"/>
    </ndxf>
  </rcc>
  <rcc rId="320" sId="1">
    <nc r="B76">
      <v>144</v>
    </nc>
  </rcc>
</revisions>
</file>

<file path=xl/revisions/revisionLog6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21" sId="1" odxf="1" dxf="1" numFmtId="26">
    <nc r="A77">
      <v>0.9161921296296297</v>
    </nc>
    <odxf>
      <numFmt numFmtId="0" formatCode="General"/>
    </odxf>
    <ndxf>
      <numFmt numFmtId="26" formatCode="hh:mm:ss"/>
    </ndxf>
  </rcc>
  <rcc rId="322" sId="1">
    <nc r="B77">
      <v>132</v>
    </nc>
  </rcc>
</revisions>
</file>

<file path=xl/revisions/revisionLog6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23" sId="1" odxf="1" dxf="1" numFmtId="26">
    <nc r="A78">
      <v>0.91634259259259254</v>
    </nc>
    <odxf>
      <numFmt numFmtId="0" formatCode="General"/>
    </odxf>
    <ndxf>
      <numFmt numFmtId="26" formatCode="hh:mm:ss"/>
    </ndxf>
  </rcc>
  <rcc rId="324" sId="1">
    <nc r="B78">
      <v>128</v>
    </nc>
  </rcc>
</revisions>
</file>

<file path=xl/revisions/revisionLog6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25" sId="1" odxf="1" dxf="1" numFmtId="26">
    <nc r="A79">
      <v>0.91685185185185192</v>
    </nc>
    <odxf>
      <numFmt numFmtId="0" formatCode="General"/>
    </odxf>
    <ndxf>
      <numFmt numFmtId="26" formatCode="hh:mm:ss"/>
    </ndxf>
  </rcc>
  <rcc rId="326" sId="1">
    <nc r="B79">
      <v>124</v>
    </nc>
  </rcc>
</revisions>
</file>

<file path=xl/revisions/revisionLog6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27" sId="1" odxf="1" dxf="1" numFmtId="26">
    <nc r="A80">
      <v>0.91734953703703714</v>
    </nc>
    <odxf>
      <numFmt numFmtId="0" formatCode="General"/>
    </odxf>
    <ndxf>
      <numFmt numFmtId="26" formatCode="hh:mm:ss"/>
    </ndxf>
  </rcc>
  <rcc rId="328" sId="1">
    <nc r="B80">
      <v>108</v>
    </nc>
  </rcc>
</revisions>
</file>

<file path=xl/revisions/revisionLog6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29" sId="1" odxf="1" dxf="1" numFmtId="26">
    <nc r="A81">
      <v>0.9178587962962963</v>
    </nc>
    <odxf>
      <numFmt numFmtId="0" formatCode="General"/>
    </odxf>
    <ndxf>
      <numFmt numFmtId="26" formatCode="hh:mm:ss"/>
    </ndxf>
  </rcc>
  <rcc rId="330" sId="1">
    <nc r="B81">
      <v>98</v>
    </nc>
  </rcc>
</revisions>
</file>

<file path=xl/revisions/revisionLog6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1" sId="1" odxf="1" dxf="1" numFmtId="26">
    <nc r="A82">
      <v>0.91800925925925936</v>
    </nc>
    <odxf>
      <numFmt numFmtId="0" formatCode="General"/>
    </odxf>
    <ndxf>
      <numFmt numFmtId="26" formatCode="hh:mm:ss"/>
    </ndxf>
  </rcc>
  <rcc rId="332" sId="1">
    <nc r="B82">
      <v>92</v>
    </nc>
  </rcc>
</revisions>
</file>

<file path=xl/revisions/revisionLog6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3" sId="1" odxf="1" dxf="1" numFmtId="26">
    <nc r="A83">
      <v>0.93459490740740747</v>
    </nc>
    <odxf>
      <numFmt numFmtId="0" formatCode="General"/>
    </odxf>
    <ndxf>
      <numFmt numFmtId="26" formatCode="hh:mm:ss"/>
    </ndxf>
  </rcc>
  <rcc rId="334" sId="1" odxf="1" quotePrefix="1">
    <nc r="B83" t="inlineStr">
      <is>
        <t>rovokationsedelsteil</t>
      </is>
    </nc>
    <odxf/>
  </rcc>
</revisions>
</file>

<file path=xl/revisions/revisionLog6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5" sId="1" odxf="1" dxf="1" numFmtId="26">
    <nc r="A84">
      <v>0.93678240740740737</v>
    </nc>
    <odxf>
      <numFmt numFmtId="0" formatCode="General"/>
    </odxf>
    <ndxf>
      <numFmt numFmtId="26" formatCode="hh:mm:ss"/>
    </ndxf>
  </rcc>
  <rcc rId="336" sId="1">
    <nc r="B84" t="inlineStr">
      <is>
        <t>riffst,</t>
      </is>
    </nc>
  </rcc>
</revisions>
</file>

<file path=xl/revisions/revisionLog6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7" sId="1" odxf="1" dxf="1" numFmtId="26">
    <nc r="A85">
      <v>0.93694444444444447</v>
    </nc>
    <odxf>
      <numFmt numFmtId="0" formatCode="General"/>
    </odxf>
    <ndxf>
      <numFmt numFmtId="26" formatCode="hh:mm:ss"/>
    </ndxf>
  </rcc>
  <rcc rId="338" sId="1">
    <nc r="B85" t="inlineStr">
      <is>
        <t>zielter</t>
      </is>
    </nc>
  </rcc>
</revisions>
</file>

<file path=xl/revisions/revisionLog6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39" sId="1" odxf="1" dxf="1" numFmtId="26">
    <nc r="A86">
      <v>0.93722222222222218</v>
    </nc>
    <odxf>
      <numFmt numFmtId="0" formatCode="General"/>
    </odxf>
    <ndxf>
      <numFmt numFmtId="26" formatCode="hh:mm:ss"/>
    </ndxf>
  </rcc>
  <rcc rId="340" sId="1">
    <nc r="B86" t="inlineStr">
      <is>
        <t>den</t>
      </is>
    </nc>
  </rcc>
</revisions>
</file>

<file path=xl/revisions/revisionLog7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41" sId="1" odxf="1" dxf="1" numFmtId="26">
    <nc r="A87">
      <v>0.9432060185185186</v>
    </nc>
    <odxf>
      <numFmt numFmtId="0" formatCode="General"/>
    </odxf>
    <ndxf>
      <numFmt numFmtId="26" formatCode="hh:mm:ss"/>
    </ndxf>
  </rcc>
  <rcc rId="342" sId="1">
    <nc r="B87" t="inlineStr">
      <is>
        <t>E</t>
      </is>
    </nc>
  </rcc>
</revisions>
</file>

<file path=xl/revisions/revisionLog7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43" sId="1" odxf="1" dxf="1" numFmtId="26">
    <nc r="A88">
      <v>0.94396990740740738</v>
    </nc>
    <odxf>
      <numFmt numFmtId="0" formatCode="General"/>
    </odxf>
    <ndxf>
      <numFmt numFmtId="26" formatCode="hh:mm:ss"/>
    </ndxf>
  </rcc>
  <rcc rId="344" sId="1">
    <nc r="B88" t="inlineStr">
      <is>
        <t>v</t>
      </is>
    </nc>
  </rcc>
</revisions>
</file>

<file path=xl/revisions/revisionLog7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45" sId="1" odxf="1" dxf="1" numFmtId="26">
    <nc r="A89">
      <v>0.94473379629629628</v>
    </nc>
    <odxf>
      <numFmt numFmtId="0" formatCode="General"/>
    </odxf>
    <ndxf>
      <numFmt numFmtId="26" formatCode="hh:mm:ss"/>
    </ndxf>
  </rcc>
  <rcc rId="346" sId="1">
    <nc r="B89" t="inlineStr">
      <is>
        <t>Piratenkap</t>
      </is>
    </nc>
  </rcc>
</revisions>
</file>

<file path=xl/revisions/revisionLog7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47" sId="1" odxf="1" dxf="1" numFmtId="26">
    <nc r="A90">
      <v>0.94512731481481482</v>
    </nc>
    <odxf>
      <numFmt numFmtId="0" formatCode="General"/>
    </odxf>
    <ndxf>
      <numFmt numFmtId="26" formatCode="hh:mm:ss"/>
    </ndxf>
  </rcc>
  <rcc rId="348" sId="1">
    <nc r="B90" t="inlineStr">
      <is>
        <t>12T.</t>
      </is>
    </nc>
  </rcc>
</revisions>
</file>

<file path=xl/revisions/revisionLog7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49" sId="1" odxf="1" dxf="1" numFmtId="26">
    <nc r="A91">
      <v>0.94540509259259264</v>
    </nc>
    <odxf>
      <numFmt numFmtId="0" formatCode="General"/>
    </odxf>
    <ndxf>
      <numFmt numFmtId="26" formatCode="hh:mm:ss"/>
    </ndxf>
  </rcc>
  <rcc rId="350" sId="1">
    <nc r="B91">
      <v>111</v>
    </nc>
  </rcc>
</revisions>
</file>

<file path=xl/revisions/revisionLog7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51" sId="1" odxf="1" dxf="1" numFmtId="26">
    <nc r="A92">
      <v>0.94581018518518523</v>
    </nc>
    <odxf>
      <numFmt numFmtId="0" formatCode="General"/>
    </odxf>
    <ndxf>
      <numFmt numFmtId="26" formatCode="hh:mm:ss"/>
    </ndxf>
  </rcc>
  <rcc rId="352" sId="1">
    <nc r="B92" t="inlineStr">
      <is>
        <t>NTAR:</t>
      </is>
    </nc>
  </rcc>
</revisions>
</file>

<file path=xl/revisions/revisionLog7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53" sId="1" odxf="1" dxf="1" numFmtId="26">
    <nc r="A93">
      <v>0.94608796296296294</v>
    </nc>
    <odxf>
      <numFmt numFmtId="0" formatCode="General"/>
    </odxf>
    <ndxf>
      <numFmt numFmtId="26" formatCode="hh:mm:ss"/>
    </ndxf>
  </rcc>
  <rcc rId="354" sId="1">
    <nc r="B93" t="inlineStr">
      <is>
        <t>146,5</t>
      </is>
    </nc>
  </rcc>
</revisions>
</file>

<file path=xl/revisions/revisionLog7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55" sId="1" odxf="1" dxf="1" numFmtId="26">
    <nc r="A94">
      <v>0.947199074074074</v>
    </nc>
    <odxf>
      <numFmt numFmtId="0" formatCode="General"/>
    </odxf>
    <ndxf>
      <numFmt numFmtId="26" formatCode="hh:mm:ss"/>
    </ndxf>
  </rcc>
  <rcc rId="356" sId="1">
    <nc r="B94" t="inlineStr">
      <is>
        <t>SONC</t>
      </is>
    </nc>
  </rcc>
</revisions>
</file>

<file path=xl/revisions/revisionLog7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57" sId="1" odxf="1" dxf="1" numFmtId="26">
    <nc r="A95">
      <v>0.9477199074074073</v>
    </nc>
    <odxf>
      <numFmt numFmtId="0" formatCode="General"/>
    </odxf>
    <ndxf>
      <numFmt numFmtId="26" formatCode="hh:mm:ss"/>
    </ndxf>
  </rcc>
  <rcc rId="358" sId="1">
    <nc r="B95" t="inlineStr">
      <is>
        <t>renen</t>
      </is>
    </nc>
  </rcc>
</revisions>
</file>

<file path=xl/revisions/revisionLog7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59" sId="1" odxf="1" dxf="1" numFmtId="26">
    <nc r="A96">
      <v>0.95028935185185182</v>
    </nc>
    <odxf>
      <numFmt numFmtId="0" formatCode="General"/>
    </odxf>
    <ndxf>
      <numFmt numFmtId="26" formatCode="hh:mm:ss"/>
    </ndxf>
  </rcc>
  <rcc rId="360" sId="1">
    <nc r="B96" t="inlineStr">
      <is>
        <t>pro</t>
      </is>
    </nc>
  </rcc>
</revisions>
</file>

<file path=xl/revisions/revisionLog8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61" sId="1" odxf="1" dxf="1" numFmtId="26">
    <nc r="A97">
      <v>0.95457175925925919</v>
    </nc>
    <odxf>
      <numFmt numFmtId="0" formatCode="General"/>
    </odxf>
    <ndxf>
      <numFmt numFmtId="26" formatCode="hh:mm:ss"/>
    </ndxf>
  </rcc>
  <rcc rId="362" sId="1">
    <nc r="B97" t="inlineStr">
      <is>
        <t>.N-VERI</t>
      </is>
    </nc>
  </rcc>
</revisions>
</file>

<file path=xl/revisions/revisionLog8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63" sId="1" odxf="1" dxf="1" numFmtId="26">
    <nc r="A98">
      <v>0.9547337962962964</v>
    </nc>
    <odxf>
      <numFmt numFmtId="0" formatCode="General"/>
    </odxf>
    <ndxf>
      <numFmt numFmtId="26" formatCode="hh:mm:ss"/>
    </ndxf>
  </rcc>
  <rcc rId="364" sId="1">
    <nc r="B98" t="inlineStr">
      <is>
        <t>.N-VERI</t>
      </is>
    </nc>
  </rcc>
</revisions>
</file>

<file path=xl/revisions/revisionLog8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65" sId="1" odxf="1" dxf="1" numFmtId="26">
    <nc r="A99">
      <v>0.96464120370370365</v>
    </nc>
    <odxf>
      <numFmt numFmtId="0" formatCode="General"/>
    </odxf>
    <ndxf>
      <numFmt numFmtId="26" formatCode="hh:mm:ss"/>
    </ndxf>
  </rcc>
  <rcc rId="366" sId="1">
    <nc r="B99" t="inlineStr">
      <is>
        <t>Kartq</t>
      </is>
    </nc>
  </rcc>
</revisions>
</file>

<file path=xl/revisions/revisionLog8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67" sId="1" odxf="1" dxf="1" numFmtId="26">
    <nc r="A100">
      <v>0.97728009259259263</v>
    </nc>
    <odxf>
      <numFmt numFmtId="0" formatCode="General"/>
    </odxf>
    <ndxf>
      <numFmt numFmtId="26" formatCode="hh:mm:ss"/>
    </ndxf>
  </rcc>
  <rcc rId="368" sId="1">
    <nc r="B100" t="inlineStr">
      <is>
        <t>WIED</t>
      </is>
    </nc>
  </rcc>
</revisions>
</file>

<file path=xl/revisions/revisionLog8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69" sId="1" odxf="1" dxf="1" numFmtId="26">
    <nc r="A101">
      <v>0.97840277777777773</v>
    </nc>
    <odxf>
      <numFmt numFmtId="0" formatCode="General"/>
    </odxf>
    <ndxf>
      <numFmt numFmtId="26" formatCode="hh:mm:ss"/>
    </ndxf>
  </rcc>
  <rcc rId="370" sId="1">
    <nc r="B101" t="inlineStr">
      <is>
        <t>oiiizi</t>
      </is>
    </nc>
  </rcc>
</revisions>
</file>

<file path=xl/revisions/revisionLog8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71" sId="1" odxf="1" dxf="1" numFmtId="26">
    <nc r="A102">
      <v>0.98255787037037035</v>
    </nc>
    <odxf>
      <numFmt numFmtId="0" formatCode="General"/>
    </odxf>
    <ndxf>
      <numFmt numFmtId="26" formatCode="hh:mm:ss"/>
    </ndxf>
  </rcc>
  <rcc rId="372" sId="1">
    <nc r="B102" t="inlineStr">
      <is>
        <t>W</t>
      </is>
    </nc>
  </rcc>
</revisions>
</file>

<file path=xl/revisions/revisionLog8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73" sId="1" odxf="1" dxf="1" numFmtId="26">
    <nc r="A103">
      <v>0.98837962962962955</v>
    </nc>
    <odxf>
      <numFmt numFmtId="0" formatCode="General"/>
    </odxf>
    <ndxf>
      <numFmt numFmtId="26" formatCode="hh:mm:ss"/>
    </ndxf>
  </rcc>
  <rcc rId="374" sId="1">
    <nc r="B103" t="inlineStr">
      <is>
        <t>ausrüstest.</t>
      </is>
    </nc>
  </rcc>
</revisions>
</file>

<file path=xl/revisions/revisionLog8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75" sId="1" odxf="1" dxf="1" numFmtId="26">
    <nc r="A104">
      <v>0.98890046296296286</v>
    </nc>
    <odxf>
      <numFmt numFmtId="0" formatCode="General"/>
    </odxf>
    <ndxf>
      <numFmt numFmtId="26" formatCode="hh:mm:ss"/>
    </ndxf>
  </rcc>
  <rcc rId="376" sId="1">
    <nc r="B104" t="inlineStr">
      <is>
        <t>VEREDELI</t>
      </is>
    </nc>
  </rcc>
</revisions>
</file>

<file path=xl/revisions/revisionLog8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77" sId="1" odxf="1" dxf="1" numFmtId="26">
    <nc r="A105">
      <v>0.99111111111111105</v>
    </nc>
    <odxf>
      <numFmt numFmtId="0" formatCode="General"/>
    </odxf>
    <ndxf>
      <numFmt numFmtId="26" formatCode="hh:mm:ss"/>
    </ndxf>
  </rcc>
  <rcc rId="378" sId="1">
    <nc r="B105" t="inlineStr">
      <is>
        <t>111—</t>
      </is>
    </nc>
  </rcc>
</revisions>
</file>

<file path=xl/revisions/revisionLog8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79" sId="1" odxf="1" dxf="1" numFmtId="26">
    <nc r="A106">
      <v>0.9952199074074074</v>
    </nc>
    <odxf>
      <numFmt numFmtId="0" formatCode="General"/>
    </odxf>
    <ndxf>
      <numFmt numFmtId="26" formatCode="hh:mm:ss"/>
    </ndxf>
  </rcc>
  <rcc rId="380" sId="1">
    <nc r="B106" t="inlineStr">
      <is>
        <t>e</t>
      </is>
    </nc>
  </rcc>
</revisions>
</file>

<file path=xl/revisions/revisionLog9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81" sId="1" odxf="1" dxf="1" numFmtId="26">
    <nc r="A107">
      <v>0.99960648148148146</v>
    </nc>
    <odxf>
      <numFmt numFmtId="0" formatCode="General"/>
    </odxf>
    <ndxf>
      <numFmt numFmtId="26" formatCode="hh:mm:ss"/>
    </ndxf>
  </rcc>
  <rcc rId="382" sId="1">
    <nc r="B107" t="inlineStr">
      <is>
        <t>KLEI</t>
      </is>
    </nc>
  </rcc>
</revisions>
</file>

<file path=xl/revisions/revisionLog9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83" sId="1" odxf="1" dxf="1" numFmtId="26">
    <nc r="A108">
      <v>0.99976851851851845</v>
    </nc>
    <odxf>
      <numFmt numFmtId="0" formatCode="General"/>
    </odxf>
    <ndxf>
      <numFmt numFmtId="26" formatCode="hh:mm:ss"/>
    </ndxf>
  </rcc>
  <rcc rId="384" sId="1">
    <nc r="B108" t="inlineStr">
      <is>
        <t>RLE</t>
      </is>
    </nc>
  </rcc>
</revisions>
</file>

<file path=xl/revisions/revisionLog9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85" sId="1" odxf="1" dxf="1" numFmtId="26">
    <nc r="A109">
      <v>9.3287037037037036E-3</v>
    </nc>
    <odxf>
      <numFmt numFmtId="0" formatCode="General"/>
    </odxf>
    <ndxf>
      <numFmt numFmtId="26" formatCode="hh:mm:ss"/>
    </ndxf>
  </rcc>
  <rcc rId="386" sId="1">
    <nc r="B109" t="inlineStr">
      <is>
        <t>dnnen—</t>
      </is>
    </nc>
  </rcc>
</revisions>
</file>

<file path=xl/revisions/revisionLog9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87" sId="1" odxf="1" dxf="1" numFmtId="26">
    <nc r="A110">
      <v>1.1307870370370371E-2</v>
    </nc>
    <odxf>
      <numFmt numFmtId="0" formatCode="General"/>
    </odxf>
    <ndxf>
      <numFmt numFmtId="26" formatCode="hh:mm:ss"/>
    </ndxf>
  </rcc>
  <rcc rId="388" sId="1">
    <nc r="B110" t="inlineStr">
      <is>
        <t>zero</t>
      </is>
    </nc>
  </rcc>
</revisions>
</file>

<file path=xl/revisions/revisionLog9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89" sId="1" odxf="1" dxf="1" numFmtId="26">
    <nc r="A111">
      <v>1.4479166666666668E-2</v>
    </nc>
    <odxf>
      <numFmt numFmtId="0" formatCode="General"/>
    </odxf>
    <ndxf>
      <numFmt numFmtId="26" formatCode="hh:mm:ss"/>
    </ndxf>
  </rcc>
  <rcc rId="390" sId="1">
    <nc r="B111" t="inlineStr">
      <is>
        <t>yeFoirio</t>
      </is>
    </nc>
  </rcc>
</revisions>
</file>

<file path=xl/revisions/revisionLog9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91" sId="1" odxf="1" dxf="1" numFmtId="26">
    <nc r="A112">
      <v>1.8124999999999999E-2</v>
    </nc>
    <odxf>
      <numFmt numFmtId="0" formatCode="General"/>
    </odxf>
    <ndxf>
      <numFmt numFmtId="26" formatCode="hh:mm:ss"/>
    </ndxf>
  </rcc>
  <rcc rId="392" sId="1">
    <nc r="B112" t="inlineStr">
      <is>
        <t>WIEDERI</t>
      </is>
    </nc>
  </rcc>
</revisions>
</file>

<file path=xl/revisions/revisionLog9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93" sId="1" odxf="1" dxf="1" numFmtId="26">
    <nc r="A113">
      <v>2.56712962962963E-2</v>
    </nc>
    <odxf>
      <numFmt numFmtId="0" formatCode="General"/>
    </odxf>
    <ndxf>
      <numFmt numFmtId="26" formatCode="hh:mm:ss"/>
    </ndxf>
  </rcc>
  <rcc rId="394" sId="1">
    <nc r="B113">
      <v>26</v>
    </nc>
  </rcc>
</revisions>
</file>

<file path=xl/revisions/revisionLog9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95" sId="1" odxf="1" dxf="1" numFmtId="26">
    <nc r="A114">
      <v>2.7152777777777779E-2</v>
    </nc>
    <odxf>
      <numFmt numFmtId="0" formatCode="General"/>
    </odxf>
    <ndxf>
      <numFmt numFmtId="26" formatCode="hh:mm:ss"/>
    </ndxf>
  </rcc>
  <rcc rId="396" sId="1">
    <nc r="B114" t="inlineStr">
      <is>
        <t>Rüstwert</t>
      </is>
    </nc>
  </rcc>
</revisions>
</file>

<file path=xl/revisions/revisionLog9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97" sId="1" odxf="1" dxf="1" numFmtId="26">
    <nc r="A115">
      <v>2.732638888888889E-2</v>
    </nc>
    <odxf>
      <numFmt numFmtId="0" formatCode="General"/>
    </odxf>
    <ndxf>
      <numFmt numFmtId="26" formatCode="hh:mm:ss"/>
    </ndxf>
  </rcc>
  <rcc rId="398" sId="1">
    <nc r="B115" t="inlineStr">
      <is>
        <t>ersetzen</t>
      </is>
    </nc>
  </rcc>
</revisions>
</file>

<file path=xl/revisions/revisionLog9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99" sId="1" odxf="1" dxf="1" numFmtId="26">
    <nc r="A116">
      <v>2.7847222222222221E-2</v>
    </nc>
    <odxf>
      <numFmt numFmtId="0" formatCode="General"/>
    </odxf>
    <ndxf>
      <numFmt numFmtId="26" formatCode="hh:mm:ss"/>
    </ndxf>
  </rcc>
  <rcc rId="400" sId="1">
    <nc r="B116" t="inlineStr">
      <is>
        <t>13,5</t>
      </is>
    </nc>
  </rcc>
</revisions>
</file>

<file path=xl/revisions/revisionLog10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01" sId="1" odxf="1" dxf="1" numFmtId="26">
    <nc r="A117">
      <v>2.836805555555556E-2</v>
    </nc>
    <odxf>
      <numFmt numFmtId="0" formatCode="General"/>
    </odxf>
    <ndxf>
      <numFmt numFmtId="26" formatCode="hh:mm:ss"/>
    </ndxf>
  </rcc>
  <rcc rId="402" sId="1">
    <nc r="B117" t="inlineStr">
      <is>
        <t>ausrüstest.</t>
      </is>
    </nc>
  </rcc>
</revisions>
</file>

<file path=xl/revisions/revisionLog10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03" sId="1" odxf="1" dxf="1" numFmtId="26">
    <nc r="A118">
      <v>3.9907407407407412E-2</v>
    </nc>
    <odxf>
      <numFmt numFmtId="0" formatCode="General"/>
    </odxf>
    <ndxf>
      <numFmt numFmtId="26" formatCode="hh:mm:ss"/>
    </ndxf>
  </rcc>
  <rcc rId="404" sId="1">
    <nc r="B118" t="inlineStr">
      <is>
        <t>E</t>
      </is>
    </nc>
  </rcc>
</revisions>
</file>

<file path=xl/revisions/revisionLog10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05" sId="1" odxf="1" dxf="1" numFmtId="26">
    <nc r="A119">
      <v>4.5023148148148145E-2</v>
    </nc>
    <odxf>
      <numFmt numFmtId="0" formatCode="General"/>
    </odxf>
    <ndxf>
      <numFmt numFmtId="26" formatCode="hh:mm:ss"/>
    </ndxf>
  </rcc>
  <rcc rId="406" sId="1">
    <nc r="B119" t="inlineStr">
      <is>
        <t>rch.</t>
      </is>
    </nc>
  </rcc>
</revisions>
</file>

<file path=xl/revisions/revisionLog10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07" sId="1" odxf="1" dxf="1" numFmtId="26">
    <nc r="A120">
      <v>4.7731481481481486E-2</v>
    </nc>
    <odxf>
      <numFmt numFmtId="0" formatCode="General"/>
    </odxf>
    <ndxf>
      <numFmt numFmtId="26" formatCode="hh:mm:ss"/>
    </ndxf>
  </rcc>
  <rcc rId="408" sId="1">
    <nc r="B120" t="inlineStr">
      <is>
        <t>E</t>
      </is>
    </nc>
  </rcc>
</revisions>
</file>

<file path=xl/revisions/revisionLog10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09" sId="1" odxf="1" dxf="1" numFmtId="26">
    <nc r="A121">
      <v>5.1273148148148151E-2</v>
    </nc>
    <odxf>
      <numFmt numFmtId="0" formatCode="General"/>
    </odxf>
    <ndxf>
      <numFmt numFmtId="26" formatCode="hh:mm:ss"/>
    </ndxf>
  </rcc>
  <rcc rId="410" sId="1">
    <nc r="B121" t="inlineStr">
      <is>
        <t>ertin"</t>
      </is>
    </nc>
  </rcc>
</revisions>
</file>

<file path=xl/revisions/revisionLog10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11" sId="1" odxf="1" dxf="1" numFmtId="26">
    <nc r="A122">
      <v>5.2037037037037041E-2</v>
    </nc>
    <odxf>
      <numFmt numFmtId="0" formatCode="General"/>
    </odxf>
    <ndxf>
      <numFmt numFmtId="26" formatCode="hh:mm:ss"/>
    </ndxf>
  </rcc>
  <rcc rId="412" sId="1">
    <nc r="B122" t="inlineStr">
      <is>
        <t>E</t>
      </is>
    </nc>
  </rcc>
</revisions>
</file>

<file path=xl/revisions/revisionLog10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13" sId="1" odxf="1" dxf="1" numFmtId="26">
    <nc r="A123">
      <v>5.4629629629629632E-2</v>
    </nc>
    <odxf>
      <numFmt numFmtId="0" formatCode="General"/>
    </odxf>
    <ndxf>
      <numFmt numFmtId="26" formatCode="hh:mm:ss"/>
    </ndxf>
  </rcc>
  <rcc rId="414" sId="1">
    <nc r="B123" t="inlineStr">
      <is>
        <t>ng:</t>
      </is>
    </nc>
  </rcc>
</revisions>
</file>

<file path=xl/revisions/revisionLog10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15" sId="1" odxf="1" dxf="1" numFmtId="26">
    <nc r="A124">
      <v>6.1782407407407404E-2</v>
    </nc>
    <odxf>
      <numFmt numFmtId="0" formatCode="General"/>
    </odxf>
    <ndxf>
      <numFmt numFmtId="26" formatCode="hh:mm:ss"/>
    </ndxf>
  </rcc>
  <rcc rId="416" sId="1">
    <nc r="B124" t="inlineStr">
      <is>
        <t>E</t>
      </is>
    </nc>
  </rcc>
</revisions>
</file>

<file path=xl/revisions/revisionLog10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17" sId="1" odxf="1" dxf="1" numFmtId="26">
    <nc r="A125">
      <v>6.5578703703703708E-2</v>
    </nc>
    <odxf>
      <numFmt numFmtId="0" formatCode="General"/>
    </odxf>
    <ndxf>
      <numFmt numFmtId="26" formatCode="hh:mm:ss"/>
    </ndxf>
  </rcc>
  <rcc rId="418" sId="1">
    <nc r="B125" t="inlineStr">
      <is>
        <t>ORSTE</t>
      </is>
    </nc>
  </rcc>
</revisions>
</file>

<file path=xl/revisions/revisionLog10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19" sId="1" odxf="1" dxf="1" numFmtId="26">
    <nc r="A126">
      <v>7.4166666666666659E-2</v>
    </nc>
    <odxf>
      <numFmt numFmtId="0" formatCode="General"/>
    </odxf>
    <ndxf>
      <numFmt numFmtId="26" formatCode="hh:mm:ss"/>
    </ndxf>
  </rcc>
  <rcc rId="420" sId="1">
    <nc r="B126" t="inlineStr">
      <is>
        <t>KLE</t>
      </is>
    </nc>
  </rcc>
</revisions>
</file>

<file path=xl/revisions/revisionLog11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21" sId="1" odxf="1" dxf="1" numFmtId="26">
    <nc r="A127">
      <v>8.8946759259259267E-2</v>
    </nc>
    <odxf>
      <numFmt numFmtId="0" formatCode="General"/>
    </odxf>
    <ndxf>
      <numFmt numFmtId="26" formatCode="hh:mm:ss"/>
    </ndxf>
  </rcc>
  <rcc rId="422" sId="1">
    <nc r="B127">
      <v>29</v>
    </nc>
  </rcc>
</revisions>
</file>

<file path=xl/revisions/revisionLog11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23" sId="1" odxf="1" dxf="1" numFmtId="26">
    <nc r="A128">
      <v>9.3368055555555551E-2</v>
    </nc>
    <odxf>
      <numFmt numFmtId="0" formatCode="General"/>
    </odxf>
    <ndxf>
      <numFmt numFmtId="26" formatCode="hh:mm:ss"/>
    </ndxf>
  </rcc>
  <rcc rId="424" sId="1">
    <nc r="B128" t="inlineStr">
      <is>
        <t>H</t>
      </is>
    </nc>
  </rcc>
</revisions>
</file>

<file path=xl/revisions/revisionLog11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25" sId="1" odxf="1" dxf="1" numFmtId="26">
    <nc r="A129">
      <v>9.5104166666666656E-2</v>
    </nc>
    <odxf>
      <numFmt numFmtId="0" formatCode="General"/>
    </odxf>
    <ndxf>
      <numFmt numFmtId="26" formatCode="hh:mm:ss"/>
    </ndxf>
  </rcc>
  <rcc rId="426" sId="1">
    <nc r="B129" t="inlineStr">
      <is>
        <t>Gesandteees</t>
      </is>
    </nc>
  </rcc>
</revisions>
</file>

<file path=xl/revisions/revisionLog11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27" sId="1" odxf="1" dxf="1" numFmtId="26">
    <nc r="A130">
      <v>0.10334490740740741</v>
    </nc>
    <odxf>
      <numFmt numFmtId="0" formatCode="General"/>
    </odxf>
    <ndxf>
      <numFmt numFmtId="26" formatCode="hh:mm:ss"/>
    </ndxf>
  </rcc>
  <rcc rId="428" sId="1">
    <nc r="B130" t="inlineStr">
      <is>
        <t>Einsatz</t>
      </is>
    </nc>
  </rcc>
</revisions>
</file>

<file path=xl/revisions/revisionLog11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29" sId="1" odxf="1" dxf="1" numFmtId="26">
    <nc r="A131">
      <v>0.10447916666666666</v>
    </nc>
    <odxf>
      <numFmt numFmtId="0" formatCode="General"/>
    </odxf>
    <ndxf>
      <numFmt numFmtId="26" formatCode="hh:mm:ss"/>
    </ndxf>
  </rcc>
  <rcc rId="430" sId="1">
    <nc r="B131" t="inlineStr">
      <is>
        <t>HOLZVi</t>
      </is>
    </nc>
  </rcc>
</revisions>
</file>

<file path=xl/revisions/revisionLog11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31" sId="1" odxf="1" dxf="1" numFmtId="26">
    <nc r="A132">
      <v>0.10524305555555556</v>
    </nc>
    <odxf>
      <numFmt numFmtId="0" formatCode="General"/>
    </odxf>
    <ndxf>
      <numFmt numFmtId="26" formatCode="hh:mm:ss"/>
    </ndxf>
  </rcc>
  <rcc rId="432" sId="1">
    <nc r="B132">
      <v>233</v>
    </nc>
  </rcc>
</revisions>
</file>

<file path=xl/revisions/revisionLog11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33" sId="1" odxf="1" dxf="1" numFmtId="26">
    <nc r="A133">
      <v>0.10697916666666667</v>
    </nc>
    <odxf>
      <numFmt numFmtId="0" formatCode="General"/>
    </odxf>
    <ndxf>
      <numFmt numFmtId="26" formatCode="hh:mm:ss"/>
    </ndxf>
  </rcc>
  <rcc rId="434" sId="1">
    <nc r="B133" t="inlineStr">
      <is>
        <t>der</t>
      </is>
    </nc>
  </rcc>
</revisions>
</file>

<file path=xl/revisions/revisionLog11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35" sId="1" odxf="1" dxf="1" numFmtId="26">
    <nc r="A134">
      <v>0.11157407407407406</v>
    </nc>
    <odxf>
      <numFmt numFmtId="0" formatCode="General"/>
    </odxf>
    <ndxf>
      <numFmt numFmtId="26" formatCode="hh:mm:ss"/>
    </ndxf>
  </rcc>
  <rcc rId="436" sId="1">
    <nc r="B134">
      <v>28</v>
    </nc>
  </rcc>
</revisions>
</file>

<file path=xl/revisions/revisionLog11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37" sId="1" odxf="1" dxf="1" numFmtId="26">
    <nc r="A135">
      <v>0.11234953703703704</v>
    </nc>
    <odxf>
      <numFmt numFmtId="0" formatCode="General"/>
    </odxf>
    <ndxf>
      <numFmt numFmtId="26" formatCode="hh:mm:ss"/>
    </ndxf>
  </rcc>
  <rcc rId="438" sId="1">
    <nc r="B135" t="inlineStr">
      <is>
        <t>DPK</t>
      </is>
    </nc>
  </rcc>
</revisions>
</file>

<file path=xl/revisions/revisionLog11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39" sId="1" odxf="1" dxf="1" numFmtId="26">
    <nc r="A136">
      <v>0.1146875</v>
    </nc>
    <odxf>
      <numFmt numFmtId="0" formatCode="General"/>
    </odxf>
    <ndxf>
      <numFmt numFmtId="26" formatCode="hh:mm:ss"/>
    </ndxf>
  </rcc>
  <rcc rId="440" sId="1">
    <nc r="B136" t="inlineStr">
      <is>
        <t>Sto</t>
      </is>
    </nc>
  </rcc>
</revisions>
</file>

<file path=xl/revisions/revisionLog12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41" sId="1" odxf="1" dxf="1" numFmtId="26">
    <nc r="A137">
      <v>0.12192129629629629</v>
    </nc>
    <odxf>
      <numFmt numFmtId="0" formatCode="General"/>
    </odxf>
    <ndxf>
      <numFmt numFmtId="26" formatCode="hh:mm:ss"/>
    </ndxf>
  </rcc>
  <rcc rId="442" sId="1">
    <nc r="B137" t="inlineStr">
      <is>
        <t>Lal</t>
      </is>
    </nc>
  </rcc>
</revisions>
</file>

<file path=xl/revisions/revisionLog12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43" sId="1" numFmtId="25">
    <oc r="A2">
      <v>0.84112268518518529</v>
    </oc>
    <nc r="A2">
      <v>0.93427083333333327</v>
    </nc>
  </rcc>
  <rcc rId="444" sId="1">
    <oc r="B2">
      <v>1766</v>
    </oc>
    <nc r="B2">
      <v>114</v>
    </nc>
  </rcc>
</revisions>
</file>

<file path=xl/revisions/revisionLog12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45" sId="1" numFmtId="25">
    <oc r="A3">
      <v>0.84224537037037039</v>
    </oc>
    <nc r="A3">
      <v>0.93444444444444441</v>
    </nc>
  </rcc>
  <rcc rId="446" sId="1">
    <oc r="B3">
      <v>1753</v>
    </oc>
    <nc r="B3">
      <v>113</v>
    </nc>
  </rcc>
</revisions>
</file>

<file path=xl/revisions/revisionLog12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47" sId="1" numFmtId="25">
    <oc r="A4">
      <v>0.84347222222222218</v>
    </oc>
    <nc r="A4">
      <v>0.93496527777777771</v>
    </nc>
  </rcc>
  <rcc rId="448" sId="1">
    <oc r="B4">
      <v>1735</v>
    </oc>
    <nc r="B4">
      <v>103</v>
    </nc>
  </rcc>
</revisions>
</file>

<file path=xl/revisions/revisionLog12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49" sId="1" numFmtId="25">
    <oc r="A5">
      <v>0.84456018518518527</v>
    </oc>
    <nc r="A5">
      <v>0.9353703703703703</v>
    </nc>
  </rcc>
  <rcc rId="450" sId="1">
    <oc r="B5">
      <v>1712</v>
    </oc>
    <nc r="B5">
      <v>98</v>
    </nc>
  </rcc>
</revisions>
</file>

<file path=xl/revisions/revisionLog12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51" sId="1" numFmtId="25">
    <oc r="A6">
      <v>0.84601851851851861</v>
    </oc>
    <nc r="A6">
      <v>0.93553240740740751</v>
    </nc>
  </rcc>
  <rcc rId="452" sId="1">
    <oc r="B6">
      <v>1692</v>
    </oc>
    <nc r="B6">
      <v>94</v>
    </nc>
  </rcc>
</revisions>
</file>

<file path=xl/revisions/revisionLog12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53" sId="1" numFmtId="25">
    <oc r="A7">
      <v>0.84712962962962957</v>
    </oc>
    <nc r="A7">
      <v>0.93605324074074081</v>
    </nc>
  </rcc>
  <rcc rId="454" sId="1">
    <oc r="B7">
      <v>1681</v>
    </oc>
    <nc r="B7">
      <v>72</v>
    </nc>
  </rcc>
</revisions>
</file>

<file path=xl/revisions/revisionLog12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55" sId="1" numFmtId="25">
    <oc r="A8">
      <v>0.84821759259259266</v>
    </oc>
    <nc r="A8">
      <v>0.93679398148148152</v>
    </nc>
  </rcc>
  <rcc rId="456" sId="1">
    <oc r="B8">
      <v>1666</v>
    </oc>
    <nc r="B8">
      <v>65</v>
    </nc>
  </rcc>
</revisions>
</file>

<file path=xl/revisions/revisionLog12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57" sId="1" numFmtId="25">
    <oc r="A9">
      <v>0.84920138888888896</v>
    </oc>
    <nc r="A9">
      <v>0.93731481481481482</v>
    </nc>
  </rcc>
  <rcc rId="458" sId="1">
    <oc r="B9">
      <v>1643</v>
    </oc>
    <nc r="B9">
      <v>60</v>
    </nc>
  </rcc>
</revisions>
</file>

<file path=xl/revisions/revisionLog12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59" sId="1" numFmtId="25">
    <oc r="A10">
      <v>0.85162037037037042</v>
    </oc>
    <nc r="A10">
      <v>0.93793981481481481</v>
    </nc>
  </rcc>
  <rcc rId="460" sId="1">
    <oc r="B10">
      <v>1587</v>
    </oc>
    <nc r="B10">
      <v>51</v>
    </nc>
  </rcc>
</revisions>
</file>

<file path=xl/revisions/revisionLog13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61" sId="1" numFmtId="25">
    <oc r="A11">
      <v>0.85283564814814816</v>
    </oc>
    <nc r="A11">
      <v>0.93846064814814811</v>
    </nc>
  </rcc>
  <rcc rId="462" sId="1">
    <oc r="B11">
      <v>1576</v>
    </oc>
    <nc r="B11">
      <v>36</v>
    </nc>
  </rcc>
</revisions>
</file>

<file path=xl/revisions/revisionLog13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63" sId="1" numFmtId="25">
    <oc r="A12">
      <v>0.85297453703703707</v>
    </oc>
    <nc r="A12">
      <v>0.93896990740740749</v>
    </nc>
  </rcc>
  <rcc rId="464" sId="1">
    <oc r="B12" t="inlineStr">
      <is>
        <t>O</t>
      </is>
    </oc>
    <nc r="B12">
      <v>31</v>
    </nc>
  </rcc>
</revisions>
</file>

<file path=xl/revisions/revisionLog13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65" sId="1" numFmtId="25">
    <oc r="A13">
      <v>0.85334490740740743</v>
    </oc>
    <nc r="A13">
      <v>0.93947916666666664</v>
    </nc>
  </rcc>
  <rcc rId="466" sId="1">
    <oc r="B13">
      <v>1576</v>
    </oc>
    <nc r="B13">
      <v>23</v>
    </nc>
  </rcc>
</revisions>
</file>

<file path=xl/revisions/revisionLog13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67" sId="1" numFmtId="25">
    <oc r="A14">
      <v>0.85384259259259254</v>
    </oc>
    <nc r="A14">
      <v>0.94</v>
    </nc>
  </rcc>
  <rcc rId="468" sId="1">
    <oc r="B14">
      <v>1544</v>
    </oc>
    <nc r="B14">
      <v>18</v>
    </nc>
  </rcc>
</revisions>
</file>

<file path=xl/revisions/revisionLog13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69" sId="1" numFmtId="25">
    <oc r="A15">
      <v>0.8550578703703704</v>
    </oc>
    <nc r="A15">
      <v>0.94075231481481481</v>
    </nc>
  </rcc>
  <rcc rId="470" sId="1">
    <oc r="B15">
      <v>1525</v>
    </oc>
    <nc r="B15">
      <v>10</v>
    </nc>
  </rcc>
</revisions>
</file>

<file path=xl/revisions/revisionLog13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71" sId="1" numFmtId="25">
    <oc r="A16">
      <v>0.85627314814814814</v>
    </oc>
    <nc r="A16"/>
  </rcc>
  <rcc rId="472" sId="1">
    <oc r="B16">
      <v>1490</v>
    </oc>
    <nc r="B16"/>
  </rcc>
  <rcc rId="473" sId="1">
    <oc r="C16">
      <f>IF(ISNUMBER(B15),SUM(B15-B16)*(60/SUM((A16-A15)*24*60*60)),"")</f>
    </oc>
    <nc r="C16"/>
  </rcc>
  <rcc rId="474" sId="1">
    <oc r="D16">
      <f>IF(ISNUMBER(C16),SUM(B16/C16),"")</f>
    </oc>
    <nc r="D16"/>
  </rcc>
  <rcc rId="475" sId="1" numFmtId="25">
    <oc r="A17">
      <v>0.85736111111111113</v>
    </oc>
    <nc r="A17"/>
  </rcc>
  <rcc rId="476" sId="1">
    <oc r="B17">
      <v>1469</v>
    </oc>
    <nc r="B17"/>
  </rcc>
  <rcc rId="477" sId="1">
    <oc r="C17">
      <f>IF(ISNUMBER(B16),SUM(B16-B17)*(60/SUM((A17-A16)*24*60*60)),"")</f>
    </oc>
    <nc r="C17"/>
  </rcc>
  <rcc rId="478" sId="1">
    <oc r="D17">
      <f>IF(ISNUMBER(C17),SUM(B17/C17),"")</f>
    </oc>
    <nc r="D17"/>
  </rcc>
  <rcc rId="479" sId="1" numFmtId="25">
    <oc r="A18">
      <v>0.85846064814814815</v>
    </oc>
    <nc r="A18"/>
  </rcc>
  <rcc rId="480" sId="1">
    <oc r="B18">
      <v>1445</v>
    </oc>
    <nc r="B18"/>
  </rcc>
  <rcc rId="481" sId="1">
    <oc r="C18">
      <f>IF(ISNUMBER(B17),SUM(B17-B18)*(60/SUM((A18-A17)*24*60*60)),"")</f>
    </oc>
    <nc r="C18"/>
  </rcc>
  <rcc rId="482" sId="1">
    <oc r="D18">
      <f>IF(ISNUMBER(C18),SUM(B18/C18),"")</f>
    </oc>
    <nc r="D18"/>
  </rcc>
  <rcc rId="483" sId="1" numFmtId="25">
    <oc r="A19">
      <v>0.85979166666666673</v>
    </oc>
    <nc r="A19"/>
  </rcc>
  <rcc rId="484" sId="1">
    <oc r="B19">
      <v>1428</v>
    </oc>
    <nc r="B19"/>
  </rcc>
  <rcc rId="485" sId="1">
    <oc r="C19">
      <f>IF(ISNUMBER(B18),SUM(B18-B19)*(60/SUM((A19-A18)*24*60*60)),"")</f>
    </oc>
    <nc r="C19"/>
  </rcc>
  <rcc rId="486" sId="1">
    <oc r="D19">
      <f>IF(ISNUMBER(C19),SUM(B19/C19),"")</f>
    </oc>
    <nc r="D19"/>
  </rcc>
  <rcc rId="487" sId="1" numFmtId="25">
    <oc r="A20">
      <v>0.86089120370370376</v>
    </oc>
    <nc r="A20"/>
  </rcc>
  <rcc rId="488" sId="1">
    <oc r="B20">
      <v>1416</v>
    </oc>
    <nc r="B20"/>
  </rcc>
  <rcc rId="489" sId="1">
    <oc r="C20">
      <f>IF(ISNUMBER(B19),SUM(B19-B20)*(60/SUM((A20-A19)*24*60*60)),"")</f>
    </oc>
    <nc r="C20"/>
  </rcc>
  <rcc rId="490" sId="1">
    <oc r="D20">
      <f>IF(ISNUMBER(C20),SUM(B20/C20),"")</f>
    </oc>
    <nc r="D20"/>
  </rcc>
  <rcc rId="491" sId="1" numFmtId="25">
    <oc r="A21">
      <v>0.8621064814814815</v>
    </oc>
    <nc r="A21"/>
  </rcc>
  <rcc rId="492" sId="1">
    <oc r="B21">
      <v>1396</v>
    </oc>
    <nc r="B21"/>
  </rcc>
  <rcc rId="493" sId="1">
    <oc r="C21">
      <f>IF(ISNUMBER(B20),SUM(B20-B21)*(60/SUM((A21-A20)*24*60*60)),"")</f>
    </oc>
    <nc r="C21"/>
  </rcc>
  <rcc rId="494" sId="1">
    <oc r="D21">
      <f>IF(ISNUMBER(C21),SUM(B21/C21),"")</f>
    </oc>
    <nc r="D21"/>
  </rcc>
  <rcc rId="495" sId="1" numFmtId="25">
    <oc r="A22">
      <v>0.86319444444444438</v>
    </oc>
    <nc r="A22"/>
  </rcc>
  <rcc rId="496" sId="1">
    <oc r="B22">
      <v>1382</v>
    </oc>
    <nc r="B22"/>
  </rcc>
  <rcc rId="497" sId="1">
    <oc r="C22">
      <f>IF(ISNUMBER(B21),SUM(B21-B22)*(60/SUM((A22-A21)*24*60*60)),"")</f>
    </oc>
    <nc r="C22"/>
  </rcc>
  <rcc rId="498" sId="1">
    <oc r="D22">
      <f>IF(ISNUMBER(C22),SUM(B22/C22),"")</f>
    </oc>
    <nc r="D22"/>
  </rcc>
  <rcc rId="499" sId="1" numFmtId="25">
    <oc r="A23">
      <v>0.86440972222222223</v>
    </oc>
    <nc r="A23"/>
  </rcc>
  <rcc rId="500" sId="1">
    <oc r="B23">
      <v>1364</v>
    </oc>
    <nc r="B23"/>
  </rcc>
  <rcc rId="501" sId="1">
    <oc r="C23">
      <f>IF(ISNUMBER(B22),SUM(B22-B23)*(60/SUM((A23-A22)*24*60*60)),"")</f>
    </oc>
    <nc r="C23"/>
  </rcc>
  <rcc rId="502" sId="1">
    <oc r="D23">
      <f>IF(ISNUMBER(C23),SUM(B23/C23),"")</f>
    </oc>
    <nc r="D23"/>
  </rcc>
  <rcc rId="503" sId="1" numFmtId="25">
    <oc r="A24">
      <v>0.86574074074074081</v>
    </oc>
    <nc r="A24"/>
  </rcc>
  <rcc rId="504" sId="1">
    <oc r="B24">
      <v>1346</v>
    </oc>
    <nc r="B24"/>
  </rcc>
  <rcc rId="505" sId="1">
    <oc r="C24">
      <f>IF(ISNUMBER(B23),SUM(B23-B24)*(60/SUM((A24-A23)*24*60*60)),"")</f>
    </oc>
    <nc r="C24"/>
  </rcc>
  <rcc rId="506" sId="1">
    <oc r="D24">
      <f>IF(ISNUMBER(C24),SUM(B24/C24),"")</f>
    </oc>
    <nc r="D24"/>
  </rcc>
  <rcc rId="507" sId="1" numFmtId="25">
    <oc r="A25">
      <v>0.86684027777777783</v>
    </oc>
    <nc r="A25"/>
  </rcc>
  <rcc rId="508" sId="1">
    <oc r="B25">
      <v>1335</v>
    </oc>
    <nc r="B25"/>
  </rcc>
  <rcc rId="509" sId="1">
    <oc r="C25">
      <f>IF(ISNUMBER(B24),SUM(B24-B25)*(60/SUM((A25-A24)*24*60*60)),"")</f>
    </oc>
    <nc r="C25"/>
  </rcc>
  <rcc rId="510" sId="1">
    <oc r="D25">
      <f>IF(ISNUMBER(C25),SUM(B25/C25),"")</f>
    </oc>
    <nc r="D25"/>
  </rcc>
  <rcc rId="511" sId="1" numFmtId="25">
    <oc r="A26">
      <v>0.86793981481481486</v>
    </oc>
    <nc r="A26"/>
  </rcc>
  <rcc rId="512" sId="1">
    <oc r="B26">
      <v>1302</v>
    </oc>
    <nc r="B26"/>
  </rcc>
  <rcc rId="513" sId="1">
    <oc r="C26">
      <f>IF(ISNUMBER(B25),SUM(B25-B26)*(60/SUM((A26-A25)*24*60*60)),"")</f>
    </oc>
    <nc r="C26"/>
  </rcc>
  <rcc rId="514" sId="1">
    <oc r="D26">
      <f>IF(ISNUMBER(C26),SUM(B26/C26),"")</f>
    </oc>
    <nc r="D26"/>
  </rcc>
  <rcc rId="515" sId="1" numFmtId="25">
    <oc r="A27">
      <v>0.86891203703703701</v>
    </oc>
    <nc r="A27"/>
  </rcc>
  <rcc rId="516" sId="1">
    <oc r="B27">
      <v>1296</v>
    </oc>
    <nc r="B27"/>
  </rcc>
  <rcc rId="517" sId="1">
    <oc r="C27">
      <f>IF(ISNUMBER(B26),SUM(B26-B27)*(60/SUM((A27-A26)*24*60*60)),"")</f>
    </oc>
    <nc r="C27"/>
  </rcc>
  <rcc rId="518" sId="1">
    <oc r="D27">
      <f>IF(ISNUMBER(C27),SUM(B27/C27),"")</f>
    </oc>
    <nc r="D27"/>
  </rcc>
  <rcc rId="519" sId="1" numFmtId="25">
    <oc r="A28">
      <v>0.87035879629629631</v>
    </oc>
    <nc r="A28"/>
  </rcc>
  <rcc rId="520" sId="1">
    <oc r="B28" t="inlineStr">
      <is>
        <t>C)</t>
      </is>
    </oc>
    <nc r="B28"/>
  </rcc>
  <rcc rId="521" sId="1">
    <oc r="C28">
      <f>IF(ISNUMBER(B27),SUM(B27-B28)*(60/SUM((A28-A27)*24*60*60)),"")</f>
    </oc>
    <nc r="C28"/>
  </rcc>
  <rcc rId="522" sId="1">
    <oc r="D28">
      <f>IF(ISNUMBER(C28),SUM(B28/C28),"")</f>
    </oc>
    <nc r="D28"/>
  </rcc>
  <rcc rId="523" sId="1" numFmtId="25">
    <oc r="A29">
      <v>0.87310185185185185</v>
    </oc>
    <nc r="A29"/>
  </rcc>
  <rcc rId="524" sId="1">
    <oc r="B29" t="inlineStr">
      <is>
        <t>Pr</t>
      </is>
    </oc>
    <nc r="B29"/>
  </rcc>
  <rcc rId="525" sId="1">
    <oc r="C29">
      <f>IF(ISNUMBER(B28),SUM(B28-B29)*(60/SUM((A29-A28)*24*60*60)),"")</f>
    </oc>
    <nc r="C29"/>
  </rcc>
  <rcc rId="526" sId="1">
    <oc r="D29">
      <f>IF(ISNUMBER(C29),SUM(B29/C29),"")</f>
    </oc>
    <nc r="D29"/>
  </rcc>
  <rcc rId="527" sId="1" numFmtId="25">
    <oc r="A30">
      <v>0.87714120370370363</v>
    </oc>
    <nc r="A30"/>
  </rcc>
  <rcc rId="528" sId="1">
    <oc r="B30" t="inlineStr">
      <is>
        <t>iiääiääiääiiäi</t>
      </is>
    </oc>
    <nc r="B30"/>
  </rcc>
  <rcc rId="529" sId="1">
    <oc r="C30">
      <f>IF(ISNUMBER(B29),SUM(B29-B30)*(60/SUM((A30-A29)*24*60*60)),"")</f>
    </oc>
    <nc r="C30"/>
  </rcc>
  <rcc rId="530" sId="1">
    <oc r="D30">
      <f>IF(ISNUMBER(C30),SUM(B30/C30),"")</f>
    </oc>
    <nc r="D30"/>
  </rcc>
  <rcc rId="531" sId="1" numFmtId="25">
    <oc r="A31">
      <v>0.88164351851851841</v>
    </oc>
    <nc r="A31"/>
  </rcc>
  <rcc rId="532" sId="1">
    <oc r="B31" t="inlineStr">
      <is>
        <t>C)</t>
      </is>
    </oc>
    <nc r="B31"/>
  </rcc>
  <rcc rId="533" sId="1">
    <oc r="C31">
      <f>IF(ISNUMBER(B30),SUM(B30-B31)*(60/SUM((A31-A30)*24*60*60)),"")</f>
    </oc>
    <nc r="C31"/>
  </rcc>
  <rcc rId="534" sId="1">
    <oc r="D31">
      <f>IF(ISNUMBER(C31),SUM(B31/C31),"")</f>
    </oc>
    <nc r="D31"/>
  </rcc>
  <rcc rId="535" sId="1" numFmtId="25">
    <oc r="A32">
      <v>0.88249999999999995</v>
    </oc>
    <nc r="A32"/>
  </rcc>
  <rcc rId="536" sId="1">
    <oc r="B32">
      <v>1062</v>
    </oc>
    <nc r="B32"/>
  </rcc>
  <rcc rId="537" sId="1">
    <oc r="C32">
      <f>IF(ISNUMBER(B31),SUM(B31-B32)*(60/SUM((A32-A31)*24*60*60)),"")</f>
    </oc>
    <nc r="C32"/>
  </rcc>
  <rcc rId="538" sId="1">
    <oc r="D32">
      <f>IF(ISNUMBER(C32),SUM(B32/C32),"")</f>
    </oc>
    <nc r="D32"/>
  </rcc>
  <rcc rId="539" sId="1" numFmtId="25">
    <oc r="A33">
      <v>0.88299768518518518</v>
    </oc>
    <nc r="A33"/>
  </rcc>
  <rcc rId="540" sId="1">
    <oc r="B33">
      <v>1035</v>
    </oc>
    <nc r="B33"/>
  </rcc>
  <rcc rId="541" sId="1">
    <oc r="C33">
      <f>IF(ISNUMBER(B32),SUM(B32-B33)*(60/SUM((A33-A32)*24*60*60)),"")</f>
    </oc>
    <nc r="C33"/>
  </rcc>
  <rcc rId="542" sId="1">
    <oc r="D33">
      <f>IF(ISNUMBER(C33),SUM(B33/C33),"")</f>
    </oc>
    <nc r="D33"/>
  </rcc>
  <rcc rId="543" sId="1" numFmtId="25">
    <oc r="A34">
      <v>0.88396990740740744</v>
    </oc>
    <nc r="A34"/>
  </rcc>
  <rcc rId="544" sId="1">
    <oc r="B34">
      <v>1001</v>
    </oc>
    <nc r="B34"/>
  </rcc>
  <rcc rId="545" sId="1">
    <oc r="C34">
      <f>IF(ISNUMBER(B33),SUM(B33-B34)*(60/SUM((A34-A33)*24*60*60)),"")</f>
    </oc>
    <nc r="C34"/>
  </rcc>
  <rcc rId="546" sId="1">
    <oc r="D34">
      <f>IF(ISNUMBER(C34),SUM(B34/C34),"")</f>
    </oc>
    <nc r="D34"/>
  </rcc>
  <rcc rId="547" sId="1" numFmtId="25">
    <oc r="A35">
      <v>0.88541666666666663</v>
    </oc>
    <nc r="A35"/>
  </rcc>
  <rcc rId="548" sId="1">
    <oc r="B35">
      <v>970</v>
    </oc>
    <nc r="B35"/>
  </rcc>
  <rcc rId="549" sId="1">
    <oc r="C35">
      <f>IF(ISNUMBER(B34),SUM(B34-B35)*(60/SUM((A35-A34)*24*60*60)),"")</f>
    </oc>
    <nc r="C35"/>
  </rcc>
  <rcc rId="550" sId="1">
    <oc r="D35">
      <f>IF(ISNUMBER(C35),SUM(B35/C35),"")</f>
    </oc>
    <nc r="D35"/>
  </rcc>
  <rcc rId="551" sId="1" numFmtId="25">
    <oc r="A36">
      <v>0.88650462962962961</v>
    </oc>
    <nc r="A36"/>
  </rcc>
  <rcc rId="552" sId="1">
    <oc r="B36">
      <v>964</v>
    </oc>
    <nc r="B36"/>
  </rcc>
  <rcc rId="553" sId="1">
    <oc r="C36">
      <f>IF(ISNUMBER(B35),SUM(B35-B36)*(60/SUM((A36-A35)*24*60*60)),"")</f>
    </oc>
    <nc r="C36"/>
  </rcc>
  <rcc rId="554" sId="1">
    <oc r="D36">
      <f>IF(ISNUMBER(C36),SUM(B36/C36),"")</f>
    </oc>
    <nc r="D36"/>
  </rcc>
  <rcc rId="555" sId="1" numFmtId="25">
    <oc r="A37">
      <v>0.88747685185185177</v>
    </oc>
    <nc r="A37"/>
  </rcc>
  <rcc rId="556" sId="1">
    <oc r="B37">
      <v>945</v>
    </oc>
    <nc r="B37"/>
  </rcc>
  <rcc rId="557" sId="1">
    <oc r="C37">
      <f>IF(ISNUMBER(B36),SUM(B36-B37)*(60/SUM((A37-A36)*24*60*60)),"")</f>
    </oc>
    <nc r="C37"/>
  </rcc>
  <rcc rId="558" sId="1">
    <oc r="D37">
      <f>IF(ISNUMBER(C37),SUM(B37/C37),"")</f>
    </oc>
    <nc r="D37"/>
  </rcc>
  <rcc rId="559" sId="1" numFmtId="25">
    <oc r="A38">
      <v>0.88869212962962962</v>
    </oc>
    <nc r="A38"/>
  </rcc>
  <rcc rId="560" sId="1">
    <oc r="B38">
      <v>924</v>
    </oc>
    <nc r="B38"/>
  </rcc>
  <rcc rId="561" sId="1">
    <oc r="C38">
      <f>IF(ISNUMBER(B37),SUM(B37-B38)*(60/SUM((A38-A37)*24*60*60)),"")</f>
    </oc>
    <nc r="C38"/>
  </rcc>
  <rcc rId="562" sId="1">
    <oc r="D38">
      <f>IF(ISNUMBER(C38),SUM(B38/C38),"")</f>
    </oc>
    <nc r="D38"/>
  </rcc>
  <rcc rId="563" sId="1" numFmtId="25">
    <oc r="A39">
      <v>0.88967592592592604</v>
    </oc>
    <nc r="A39"/>
  </rcc>
  <rcc rId="564" sId="1">
    <oc r="B39">
      <v>911</v>
    </oc>
    <nc r="B39"/>
  </rcc>
  <rcc rId="565" sId="1">
    <oc r="C39">
      <f>IF(ISNUMBER(B38),SUM(B38-B39)*(60/SUM((A39-A38)*24*60*60)),"")</f>
    </oc>
    <nc r="C39"/>
  </rcc>
  <rcc rId="566" sId="1">
    <oc r="D39">
      <f>IF(ISNUMBER(C39),SUM(B39/C39),"")</f>
    </oc>
    <nc r="D39"/>
  </rcc>
  <rcc rId="567" sId="1" numFmtId="25">
    <oc r="A40">
      <v>0.89101851851851854</v>
    </oc>
    <nc r="A40"/>
  </rcc>
  <rcc rId="568" sId="1">
    <oc r="B40">
      <v>886</v>
    </oc>
    <nc r="B40"/>
  </rcc>
  <rcc rId="569" sId="1">
    <oc r="C40">
      <f>IF(ISNUMBER(B39),SUM(B39-B40)*(60/SUM((A40-A39)*24*60*60)),"")</f>
    </oc>
    <nc r="C40"/>
  </rcc>
  <rcc rId="570" sId="1">
    <oc r="D40">
      <f>IF(ISNUMBER(C40),SUM(B40/C40),"")</f>
    </oc>
    <nc r="D40"/>
  </rcc>
  <rcc rId="571" sId="1" numFmtId="25">
    <oc r="A41">
      <v>0.8919907407407407</v>
    </oc>
    <nc r="A41"/>
  </rcc>
  <rcc rId="572" sId="1">
    <oc r="B41">
      <v>869</v>
    </oc>
    <nc r="B41"/>
  </rcc>
  <rcc rId="573" sId="1">
    <oc r="C41">
      <f>IF(ISNUMBER(B40),SUM(B40-B41)*(60/SUM((A41-A40)*24*60*60)),"")</f>
    </oc>
    <nc r="C41"/>
  </rcc>
  <rcc rId="574" sId="1">
    <oc r="D41">
      <f>IF(ISNUMBER(C41),SUM(B41/C41),"")</f>
    </oc>
    <nc r="D41"/>
  </rcc>
  <rcc rId="575" sId="1" numFmtId="25">
    <oc r="A42">
      <v>0.89296296296296296</v>
    </oc>
    <nc r="A42"/>
  </rcc>
  <rcc rId="576" sId="1">
    <oc r="B42">
      <v>832</v>
    </oc>
    <nc r="B42"/>
  </rcc>
  <rcc rId="577" sId="1">
    <oc r="C42">
      <f>IF(ISNUMBER(B41),SUM(B41-B42)*(60/SUM((A42-A41)*24*60*60)),"")</f>
    </oc>
    <nc r="C42"/>
  </rcc>
  <rcc rId="578" sId="1">
    <oc r="D42">
      <f>IF(ISNUMBER(C42),SUM(B42/C42),"")</f>
    </oc>
    <nc r="D42"/>
  </rcc>
  <rcc rId="579" sId="1" numFmtId="25">
    <oc r="A43">
      <v>0.89393518518518522</v>
    </oc>
    <nc r="A43"/>
  </rcc>
  <rcc rId="580" sId="1">
    <oc r="B43">
      <v>804</v>
    </oc>
    <nc r="B43"/>
  </rcc>
  <rcc rId="581" sId="1">
    <oc r="C43">
      <f>IF(ISNUMBER(B42),SUM(B42-B43)*(60/SUM((A43-A42)*24*60*60)),"")</f>
    </oc>
    <nc r="C43"/>
  </rcc>
  <rcc rId="582" sId="1">
    <oc r="D43">
      <f>IF(ISNUMBER(C43),SUM(B43/C43),"")</f>
    </oc>
    <nc r="D43"/>
  </rcc>
  <rcc rId="583" sId="1" numFmtId="25">
    <oc r="A44">
      <v>0.89479166666666676</v>
    </oc>
    <nc r="A44"/>
  </rcc>
  <rcc rId="584" sId="1">
    <oc r="B44">
      <v>771</v>
    </oc>
    <nc r="B44"/>
  </rcc>
  <rcc rId="585" sId="1">
    <oc r="C44">
      <f>IF(ISNUMBER(B43),SUM(B43-B44)*(60/SUM((A44-A43)*24*60*60)),"")</f>
    </oc>
    <nc r="C44"/>
  </rcc>
  <rcc rId="586" sId="1">
    <oc r="D44">
      <f>IF(ISNUMBER(C44),SUM(B44/C44),"")</f>
    </oc>
    <nc r="D44"/>
  </rcc>
  <rcc rId="587" sId="1" numFmtId="25">
    <oc r="A45">
      <v>0.89554398148148151</v>
    </oc>
    <nc r="A45"/>
  </rcc>
  <rcc rId="588" sId="1">
    <oc r="B45">
      <v>726</v>
    </oc>
    <nc r="B45"/>
  </rcc>
  <rcc rId="589" sId="1">
    <oc r="C45">
      <f>IF(ISNUMBER(B44),SUM(B44-B45)*(60/SUM((A45-A44)*24*60*60)),"")</f>
    </oc>
    <nc r="C45"/>
  </rcc>
  <rcc rId="590" sId="1">
    <oc r="D45">
      <f>IF(ISNUMBER(C45),SUM(B45/C45),"")</f>
    </oc>
    <nc r="D45"/>
  </rcc>
  <rcc rId="591" sId="1" numFmtId="25">
    <oc r="A46">
      <v>0.8965277777777777</v>
    </oc>
    <nc r="A46"/>
  </rcc>
  <rcc rId="592" sId="1">
    <oc r="B46">
      <v>696</v>
    </oc>
    <nc r="B46"/>
  </rcc>
  <rcc rId="593" sId="1">
    <oc r="C46">
      <f>IF(ISNUMBER(B45),SUM(B45-B46)*(60/SUM((A46-A45)*24*60*60)),"")</f>
    </oc>
    <nc r="C46"/>
  </rcc>
  <rcc rId="594" sId="1">
    <oc r="D46">
      <f>IF(ISNUMBER(C46),SUM(B46/C46),"")</f>
    </oc>
    <nc r="D46"/>
  </rcc>
  <rcc rId="595" sId="1" numFmtId="25">
    <oc r="A47">
      <v>0.89714120370370365</v>
    </oc>
    <nc r="A47"/>
  </rcc>
  <rcc rId="596" sId="1">
    <oc r="B47">
      <v>676</v>
    </oc>
    <nc r="B47"/>
  </rcc>
  <rcc rId="597" sId="1">
    <oc r="C47">
      <f>IF(ISNUMBER(B46),SUM(B46-B47)*(60/SUM((A47-A46)*24*60*60)),"")</f>
    </oc>
    <nc r="C47"/>
  </rcc>
  <rcc rId="598" sId="1">
    <oc r="D47">
      <f>IF(ISNUMBER(C47),SUM(B47/C47),"")</f>
    </oc>
    <nc r="D47"/>
  </rcc>
  <rcc rId="599" sId="1" numFmtId="25">
    <oc r="A48">
      <v>0.89800925925925934</v>
    </oc>
    <nc r="A48"/>
  </rcc>
  <rcc rId="600" sId="1">
    <oc r="B48">
      <v>661</v>
    </oc>
    <nc r="B48"/>
  </rcc>
  <rcc rId="601" sId="1">
    <oc r="C48">
      <f>IF(ISNUMBER(B47),SUM(B47-B48)*(60/SUM((A48-A47)*24*60*60)),"")</f>
    </oc>
    <nc r="C48"/>
  </rcc>
  <rcc rId="602" sId="1">
    <oc r="D48">
      <f>IF(ISNUMBER(C48),SUM(B48/C48),"")</f>
    </oc>
    <nc r="D48"/>
  </rcc>
  <rcc rId="603" sId="1" numFmtId="25">
    <oc r="A49">
      <v>0.89875000000000005</v>
    </oc>
    <nc r="A49"/>
  </rcc>
  <rcc rId="604" sId="1">
    <oc r="B49">
      <v>651</v>
    </oc>
    <nc r="B49"/>
  </rcc>
  <rcc rId="605" sId="1">
    <oc r="C49">
      <f>IF(ISNUMBER(B48),SUM(B48-B49)*(60/SUM((A49-A48)*24*60*60)),"")</f>
    </oc>
    <nc r="C49"/>
  </rcc>
  <rcc rId="606" sId="1">
    <oc r="D49">
      <f>IF(ISNUMBER(C49),SUM(B49/C49),"")</f>
    </oc>
    <nc r="D49"/>
  </rcc>
  <rcc rId="607" sId="1" numFmtId="25">
    <oc r="A50">
      <v>0.89949074074074076</v>
    </oc>
    <nc r="A50"/>
  </rcc>
  <rcc rId="608" sId="1">
    <oc r="B50">
      <v>634</v>
    </oc>
    <nc r="B50"/>
  </rcc>
  <rcc rId="609" sId="1">
    <oc r="C50">
      <f>IF(ISNUMBER(B49),SUM(B49-B50)*(60/SUM((A50-A49)*24*60*60)),"")</f>
    </oc>
    <nc r="C50"/>
  </rcc>
  <rcc rId="610" sId="1">
    <oc r="D50">
      <f>IF(ISNUMBER(C50),SUM(B50/C50),"")</f>
    </oc>
    <nc r="D50"/>
  </rcc>
  <rcc rId="611" sId="1" numFmtId="25">
    <oc r="A51">
      <v>0.90023148148148147</v>
    </oc>
    <nc r="A51"/>
  </rcc>
  <rcc rId="612" sId="1">
    <oc r="B51">
      <v>624</v>
    </oc>
    <nc r="B51"/>
  </rcc>
  <rcc rId="613" sId="1">
    <oc r="C51">
      <f>IF(ISNUMBER(B50),SUM(B50-B51)*(60/SUM((A51-A50)*24*60*60)),"")</f>
    </oc>
    <nc r="C51"/>
  </rcc>
  <rcc rId="614" sId="1">
    <oc r="D51">
      <f>IF(ISNUMBER(C51),SUM(B51/C51),"")</f>
    </oc>
    <nc r="D51"/>
  </rcc>
  <rcc rId="615" sId="1" numFmtId="25">
    <oc r="A52">
      <v>0.90097222222222229</v>
    </oc>
    <nc r="A52"/>
  </rcc>
  <rcc rId="616" sId="1">
    <oc r="B52">
      <v>605</v>
    </oc>
    <nc r="B52"/>
  </rcc>
  <rcc rId="617" sId="1">
    <oc r="C52">
      <f>IF(ISNUMBER(B51),SUM(B51-B52)*(60/SUM((A52-A51)*24*60*60)),"")</f>
    </oc>
    <nc r="C52"/>
  </rcc>
  <rcc rId="618" sId="1">
    <oc r="D52">
      <f>IF(ISNUMBER(C52),SUM(B52/C52),"")</f>
    </oc>
    <nc r="D52"/>
  </rcc>
  <rcc rId="619" sId="1" numFmtId="26">
    <oc r="A53">
      <v>0.90159722222222216</v>
    </oc>
    <nc r="A53"/>
  </rcc>
  <rcc rId="620" sId="1">
    <oc r="B53">
      <v>588</v>
    </oc>
    <nc r="B53"/>
  </rcc>
  <rcc rId="621" sId="1" numFmtId="26">
    <oc r="A54">
      <v>0.90246527777777785</v>
    </oc>
    <nc r="A54"/>
  </rcc>
  <rcc rId="622" sId="1">
    <oc r="B54">
      <v>573</v>
    </oc>
    <nc r="B54"/>
  </rcc>
  <rcc rId="623" sId="1" numFmtId="26">
    <oc r="A55">
      <v>0.90307870370370369</v>
    </oc>
    <nc r="A55"/>
  </rcc>
  <rcc rId="624" sId="1">
    <oc r="B55">
      <v>562</v>
    </oc>
    <nc r="B55"/>
  </rcc>
  <rcc rId="625" sId="1" numFmtId="26">
    <oc r="A56">
      <v>0.9038194444444444</v>
    </oc>
    <nc r="A56"/>
  </rcc>
  <rcc rId="626" sId="1">
    <oc r="B56">
      <v>535</v>
    </oc>
    <nc r="B56"/>
  </rcc>
  <rcc rId="627" sId="1" numFmtId="26">
    <oc r="A57">
      <v>0.90456018518518511</v>
    </oc>
    <nc r="A57"/>
  </rcc>
  <rcc rId="628" sId="1">
    <oc r="B57">
      <v>517</v>
    </oc>
    <nc r="B57"/>
  </rcc>
  <rcc rId="629" sId="1" numFmtId="26">
    <oc r="A58">
      <v>0.90530092592592604</v>
    </oc>
    <nc r="A58"/>
  </rcc>
  <rcc rId="630" sId="1">
    <oc r="B58" t="inlineStr">
      <is>
        <t>Name</t>
      </is>
    </oc>
    <nc r="B58"/>
  </rcc>
  <rcc rId="631" sId="1" numFmtId="26">
    <oc r="A59">
      <v>0.90747685185185178</v>
    </oc>
    <nc r="A59"/>
  </rcc>
  <rcc rId="632" sId="1">
    <oc r="B59">
      <v>429</v>
    </oc>
    <nc r="B59"/>
  </rcc>
  <rcc rId="633" sId="1" numFmtId="26">
    <oc r="A60">
      <v>0.9078587962962964</v>
    </oc>
    <nc r="A60"/>
  </rcc>
  <rcc rId="634" sId="1">
    <oc r="B60">
      <v>411</v>
    </oc>
    <nc r="B60"/>
  </rcc>
  <rcc rId="635" sId="1" numFmtId="26">
    <oc r="A61">
      <v>0.90812500000000007</v>
    </oc>
    <nc r="A61"/>
  </rcc>
  <rcc rId="636" sId="1">
    <oc r="B61">
      <v>401</v>
    </oc>
    <nc r="B61"/>
  </rcc>
  <rcc rId="637" sId="1" numFmtId="26">
    <oc r="A62">
      <v>0.90862268518518519</v>
    </oc>
    <nc r="A62"/>
  </rcc>
  <rcc rId="638" sId="1">
    <oc r="B62">
      <v>398</v>
    </oc>
    <nc r="B62"/>
  </rcc>
  <rcc rId="639" sId="1" numFmtId="26">
    <oc r="A63">
      <v>0.90913194444444445</v>
    </oc>
    <nc r="A63"/>
  </rcc>
  <rcc rId="640" sId="1">
    <oc r="B63">
      <v>387</v>
    </oc>
    <nc r="B63"/>
  </rcc>
  <rcc rId="641" sId="1" numFmtId="26">
    <oc r="A64">
      <v>0.90962962962962957</v>
    </oc>
    <nc r="A64"/>
  </rcc>
  <rcc rId="642" sId="1">
    <oc r="B64">
      <v>364</v>
    </oc>
    <nc r="B64"/>
  </rcc>
  <rcc rId="643" sId="1" numFmtId="26">
    <oc r="A65">
      <v>0.91013888888888894</v>
    </oc>
    <nc r="A65"/>
  </rcc>
  <rcc rId="644" sId="1">
    <oc r="B65">
      <v>354</v>
    </oc>
    <nc r="B65"/>
  </rcc>
  <rcc rId="645" sId="1" numFmtId="26">
    <oc r="A66">
      <v>0.91063657407407417</v>
    </oc>
    <nc r="A66"/>
  </rcc>
  <rcc rId="646" sId="1">
    <oc r="B66">
      <v>353</v>
    </oc>
    <nc r="B66"/>
  </rcc>
  <rcc rId="647" sId="1" numFmtId="26">
    <oc r="A67">
      <v>0.91114583333333332</v>
    </oc>
    <nc r="A67"/>
  </rcc>
  <rcc rId="648" sId="1">
    <oc r="B67">
      <v>333</v>
    </oc>
    <nc r="B67"/>
  </rcc>
  <rcc rId="649" sId="1" numFmtId="26">
    <oc r="A68">
      <v>0.91164351851851855</v>
    </oc>
    <nc r="A68"/>
  </rcc>
  <rcc rId="650" sId="1">
    <oc r="B68">
      <v>299</v>
    </oc>
    <nc r="B68"/>
  </rcc>
  <rcc rId="651" sId="1" numFmtId="26">
    <oc r="A69">
      <v>0.91214120370370377</v>
    </oc>
    <nc r="A69"/>
  </rcc>
  <rcc rId="652" sId="1">
    <oc r="B69">
      <v>283</v>
    </oc>
    <nc r="B69"/>
  </rcc>
  <rcc rId="653" sId="1" numFmtId="26">
    <oc r="A70">
      <v>0.91229166666666661</v>
    </oc>
    <nc r="A70"/>
  </rcc>
  <rcc rId="654" sId="1">
    <oc r="B70" t="inlineStr">
      <is>
        <t>np</t>
      </is>
    </oc>
    <nc r="B70"/>
  </rcc>
  <rcc rId="655" sId="1" numFmtId="26">
    <oc r="A71">
      <v>0.91267361111111101</v>
    </oc>
    <nc r="A71"/>
  </rcc>
  <rcc rId="656" sId="1">
    <oc r="B71">
      <v>267</v>
    </oc>
    <nc r="B71"/>
  </rcc>
  <rcc rId="657" sId="1" numFmtId="26">
    <oc r="A72">
      <v>0.91414351851851849</v>
    </oc>
    <nc r="A72"/>
  </rcc>
  <rcc rId="658" sId="1">
    <oc r="B72">
      <v>200</v>
    </oc>
    <nc r="B72"/>
  </rcc>
  <rcc rId="659" sId="1" numFmtId="26">
    <oc r="A73">
      <v>0.91465277777777787</v>
    </oc>
    <nc r="A73"/>
  </rcc>
  <rcc rId="660" sId="1">
    <oc r="B73">
      <v>184</v>
    </oc>
    <nc r="B73"/>
  </rcc>
  <rcc rId="661" sId="1" numFmtId="26">
    <oc r="A74">
      <v>0.91503472222222226</v>
    </oc>
    <nc r="A74"/>
  </rcc>
  <rcc rId="662" sId="1">
    <oc r="B74">
      <v>164</v>
    </oc>
    <nc r="B74"/>
  </rcc>
  <rcc rId="663" sId="1" numFmtId="26">
    <oc r="A75">
      <v>0.91530092592592593</v>
    </oc>
    <nc r="A75"/>
  </rcc>
  <rcc rId="664" sId="1">
    <oc r="B75">
      <v>157</v>
    </oc>
    <nc r="B75"/>
  </rcc>
  <rcc rId="665" sId="1" numFmtId="26">
    <oc r="A76">
      <v>0.91581018518518509</v>
    </oc>
    <nc r="A76"/>
  </rcc>
  <rcc rId="666" sId="1">
    <oc r="B76">
      <v>144</v>
    </oc>
    <nc r="B76"/>
  </rcc>
  <rcc rId="667" sId="1" numFmtId="26">
    <oc r="A77">
      <v>0.9161921296296297</v>
    </oc>
    <nc r="A77"/>
  </rcc>
  <rcc rId="668" sId="1">
    <oc r="B77">
      <v>132</v>
    </oc>
    <nc r="B77"/>
  </rcc>
  <rcc rId="669" sId="1" numFmtId="26">
    <oc r="A78">
      <v>0.91634259259259254</v>
    </oc>
    <nc r="A78"/>
  </rcc>
  <rcc rId="670" sId="1">
    <oc r="B78">
      <v>128</v>
    </oc>
    <nc r="B78"/>
  </rcc>
  <rcc rId="671" sId="1" numFmtId="26">
    <oc r="A79">
      <v>0.91685185185185192</v>
    </oc>
    <nc r="A79"/>
  </rcc>
  <rcc rId="672" sId="1">
    <oc r="B79">
      <v>124</v>
    </oc>
    <nc r="B79"/>
  </rcc>
  <rcc rId="673" sId="1" numFmtId="26">
    <oc r="A80">
      <v>0.91734953703703714</v>
    </oc>
    <nc r="A80"/>
  </rcc>
  <rcc rId="674" sId="1">
    <oc r="B80">
      <v>108</v>
    </oc>
    <nc r="B80"/>
  </rcc>
  <rcc rId="675" sId="1" numFmtId="26">
    <oc r="A81">
      <v>0.9178587962962963</v>
    </oc>
    <nc r="A81"/>
  </rcc>
  <rcc rId="676" sId="1">
    <oc r="B81">
      <v>98</v>
    </oc>
    <nc r="B81"/>
  </rcc>
  <rcc rId="677" sId="1" numFmtId="26">
    <oc r="A82">
      <v>0.91800925925925936</v>
    </oc>
    <nc r="A82"/>
  </rcc>
  <rcc rId="678" sId="1">
    <oc r="B82">
      <v>92</v>
    </oc>
    <nc r="B82"/>
  </rcc>
  <rcc rId="679" sId="1" numFmtId="26">
    <oc r="A83">
      <v>0.93459490740740747</v>
    </oc>
    <nc r="A83"/>
  </rcc>
  <rcc rId="680" sId="1">
    <oc r="B83" t="inlineStr">
      <is>
        <t>rovokationsedelsteil</t>
      </is>
    </oc>
    <nc r="B83"/>
  </rcc>
  <rcc rId="681" sId="1" numFmtId="26">
    <oc r="A84">
      <v>0.93678240740740737</v>
    </oc>
    <nc r="A84"/>
  </rcc>
  <rcc rId="682" sId="1">
    <oc r="B84" t="inlineStr">
      <is>
        <t>riffst,</t>
      </is>
    </oc>
    <nc r="B84"/>
  </rcc>
  <rcc rId="683" sId="1" numFmtId="26">
    <oc r="A85">
      <v>0.93694444444444447</v>
    </oc>
    <nc r="A85"/>
  </rcc>
  <rcc rId="684" sId="1">
    <oc r="B85" t="inlineStr">
      <is>
        <t>zielter</t>
      </is>
    </oc>
    <nc r="B85"/>
  </rcc>
  <rcc rId="685" sId="1" numFmtId="26">
    <oc r="A86">
      <v>0.93722222222222218</v>
    </oc>
    <nc r="A86"/>
  </rcc>
  <rcc rId="686" sId="1">
    <oc r="B86" t="inlineStr">
      <is>
        <t>den</t>
      </is>
    </oc>
    <nc r="B86"/>
  </rcc>
  <rcc rId="687" sId="1" numFmtId="26">
    <oc r="A87">
      <v>0.9432060185185186</v>
    </oc>
    <nc r="A87"/>
  </rcc>
  <rcc rId="688" sId="1">
    <oc r="B87" t="inlineStr">
      <is>
        <t>E</t>
      </is>
    </oc>
    <nc r="B87"/>
  </rcc>
  <rcc rId="689" sId="1" numFmtId="26">
    <oc r="A88">
      <v>0.94396990740740738</v>
    </oc>
    <nc r="A88"/>
  </rcc>
  <rcc rId="690" sId="1">
    <oc r="B88" t="inlineStr">
      <is>
        <t>v</t>
      </is>
    </oc>
    <nc r="B88"/>
  </rcc>
  <rcc rId="691" sId="1" numFmtId="26">
    <oc r="A89">
      <v>0.94473379629629628</v>
    </oc>
    <nc r="A89"/>
  </rcc>
  <rcc rId="692" sId="1">
    <oc r="B89" t="inlineStr">
      <is>
        <t>Piratenkap</t>
      </is>
    </oc>
    <nc r="B89"/>
  </rcc>
  <rcc rId="693" sId="1" numFmtId="26">
    <oc r="A90">
      <v>0.94512731481481482</v>
    </oc>
    <nc r="A90"/>
  </rcc>
  <rcc rId="694" sId="1">
    <oc r="B90" t="inlineStr">
      <is>
        <t>12T.</t>
      </is>
    </oc>
    <nc r="B90"/>
  </rcc>
  <rcc rId="695" sId="1" numFmtId="26">
    <oc r="A91">
      <v>0.94540509259259264</v>
    </oc>
    <nc r="A91"/>
  </rcc>
  <rcc rId="696" sId="1">
    <oc r="B91">
      <v>111</v>
    </oc>
    <nc r="B91"/>
  </rcc>
  <rcc rId="697" sId="1" numFmtId="26">
    <oc r="A92">
      <v>0.94581018518518523</v>
    </oc>
    <nc r="A92"/>
  </rcc>
  <rcc rId="698" sId="1">
    <oc r="B92" t="inlineStr">
      <is>
        <t>NTAR:</t>
      </is>
    </oc>
    <nc r="B92"/>
  </rcc>
  <rcc rId="699" sId="1" numFmtId="26">
    <oc r="A93">
      <v>0.94608796296296294</v>
    </oc>
    <nc r="A93"/>
  </rcc>
  <rcc rId="700" sId="1">
    <oc r="B93" t="inlineStr">
      <is>
        <t>146,5</t>
      </is>
    </oc>
    <nc r="B93"/>
  </rcc>
  <rcc rId="701" sId="1" numFmtId="26">
    <oc r="A94">
      <v>0.947199074074074</v>
    </oc>
    <nc r="A94"/>
  </rcc>
  <rcc rId="702" sId="1">
    <oc r="B94" t="inlineStr">
      <is>
        <t>SONC</t>
      </is>
    </oc>
    <nc r="B94"/>
  </rcc>
  <rcc rId="703" sId="1" numFmtId="26">
    <oc r="A95">
      <v>0.9477199074074073</v>
    </oc>
    <nc r="A95"/>
  </rcc>
  <rcc rId="704" sId="1">
    <oc r="B95" t="inlineStr">
      <is>
        <t>renen</t>
      </is>
    </oc>
    <nc r="B95"/>
  </rcc>
  <rcc rId="705" sId="1" numFmtId="26">
    <oc r="A96">
      <v>0.95028935185185182</v>
    </oc>
    <nc r="A96"/>
  </rcc>
  <rcc rId="706" sId="1">
    <oc r="B96" t="inlineStr">
      <is>
        <t>pro</t>
      </is>
    </oc>
    <nc r="B96"/>
  </rcc>
  <rcc rId="707" sId="1" numFmtId="26">
    <oc r="A97">
      <v>0.95457175925925919</v>
    </oc>
    <nc r="A97"/>
  </rcc>
  <rcc rId="708" sId="1">
    <oc r="B97" t="inlineStr">
      <is>
        <t>.N-VERI</t>
      </is>
    </oc>
    <nc r="B97"/>
  </rcc>
  <rcc rId="709" sId="1" numFmtId="26">
    <oc r="A98">
      <v>0.9547337962962964</v>
    </oc>
    <nc r="A98"/>
  </rcc>
  <rcc rId="710" sId="1">
    <oc r="B98" t="inlineStr">
      <is>
        <t>.N-VERI</t>
      </is>
    </oc>
    <nc r="B98"/>
  </rcc>
  <rcc rId="711" sId="1" numFmtId="26">
    <oc r="A99">
      <v>0.96464120370370365</v>
    </oc>
    <nc r="A99"/>
  </rcc>
  <rcc rId="712" sId="1">
    <oc r="B99" t="inlineStr">
      <is>
        <t>Kartq</t>
      </is>
    </oc>
    <nc r="B99"/>
  </rcc>
  <rcc rId="713" sId="1" numFmtId="26">
    <oc r="A100">
      <v>0.97728009259259263</v>
    </oc>
    <nc r="A100"/>
  </rcc>
  <rcc rId="714" sId="1">
    <oc r="B100" t="inlineStr">
      <is>
        <t>WIED</t>
      </is>
    </oc>
    <nc r="B100"/>
  </rcc>
  <rcc rId="715" sId="1" numFmtId="26">
    <oc r="A101">
      <v>0.97840277777777773</v>
    </oc>
    <nc r="A101"/>
  </rcc>
  <rcc rId="716" sId="1">
    <oc r="B101" t="inlineStr">
      <is>
        <t>oiiizi</t>
      </is>
    </oc>
    <nc r="B101"/>
  </rcc>
  <rcc rId="717" sId="1" numFmtId="26">
    <oc r="A102">
      <v>0.98255787037037035</v>
    </oc>
    <nc r="A102"/>
  </rcc>
  <rcc rId="718" sId="1">
    <oc r="B102" t="inlineStr">
      <is>
        <t>W</t>
      </is>
    </oc>
    <nc r="B102"/>
  </rcc>
  <rcc rId="719" sId="1" numFmtId="26">
    <oc r="A103">
      <v>0.98837962962962955</v>
    </oc>
    <nc r="A103"/>
  </rcc>
  <rcc rId="720" sId="1">
    <oc r="B103" t="inlineStr">
      <is>
        <t>ausrüstest.</t>
      </is>
    </oc>
    <nc r="B103"/>
  </rcc>
  <rcc rId="721" sId="1" numFmtId="26">
    <oc r="A104">
      <v>0.98890046296296286</v>
    </oc>
    <nc r="A104"/>
  </rcc>
  <rcc rId="722" sId="1">
    <oc r="B104" t="inlineStr">
      <is>
        <t>VEREDELI</t>
      </is>
    </oc>
    <nc r="B104"/>
  </rcc>
  <rcc rId="723" sId="1" numFmtId="26">
    <oc r="A105">
      <v>0.99111111111111105</v>
    </oc>
    <nc r="A105"/>
  </rcc>
  <rcc rId="724" sId="1">
    <oc r="B105" t="inlineStr">
      <is>
        <t>111—</t>
      </is>
    </oc>
    <nc r="B105"/>
  </rcc>
  <rcc rId="725" sId="1" numFmtId="26">
    <oc r="A106">
      <v>0.9952199074074074</v>
    </oc>
    <nc r="A106"/>
  </rcc>
  <rcc rId="726" sId="1">
    <oc r="B106" t="inlineStr">
      <is>
        <t>e</t>
      </is>
    </oc>
    <nc r="B106"/>
  </rcc>
  <rcc rId="727" sId="1" numFmtId="26">
    <oc r="A107">
      <v>0.99960648148148146</v>
    </oc>
    <nc r="A107"/>
  </rcc>
  <rcc rId="728" sId="1">
    <oc r="B107" t="inlineStr">
      <is>
        <t>KLEI</t>
      </is>
    </oc>
    <nc r="B107"/>
  </rcc>
  <rcc rId="729" sId="1" numFmtId="26">
    <oc r="A108">
      <v>0.99976851851851845</v>
    </oc>
    <nc r="A108"/>
  </rcc>
  <rcc rId="730" sId="1">
    <oc r="B108" t="inlineStr">
      <is>
        <t>RLE</t>
      </is>
    </oc>
    <nc r="B108"/>
  </rcc>
  <rcc rId="731" sId="1" numFmtId="26">
    <oc r="A109">
      <v>9.3287037037037036E-3</v>
    </oc>
    <nc r="A109"/>
  </rcc>
  <rcc rId="732" sId="1">
    <oc r="B109" t="inlineStr">
      <is>
        <t>dnnen—</t>
      </is>
    </oc>
    <nc r="B109"/>
  </rcc>
  <rcc rId="733" sId="1" numFmtId="26">
    <oc r="A110">
      <v>1.1307870370370371E-2</v>
    </oc>
    <nc r="A110"/>
  </rcc>
  <rcc rId="734" sId="1">
    <oc r="B110" t="inlineStr">
      <is>
        <t>zero</t>
      </is>
    </oc>
    <nc r="B110"/>
  </rcc>
  <rcc rId="735" sId="1" numFmtId="26">
    <oc r="A111">
      <v>1.4479166666666668E-2</v>
    </oc>
    <nc r="A111"/>
  </rcc>
  <rcc rId="736" sId="1">
    <oc r="B111" t="inlineStr">
      <is>
        <t>yeFoirio</t>
      </is>
    </oc>
    <nc r="B111"/>
  </rcc>
  <rcc rId="737" sId="1" numFmtId="26">
    <oc r="A112">
      <v>1.8124999999999999E-2</v>
    </oc>
    <nc r="A112"/>
  </rcc>
  <rcc rId="738" sId="1">
    <oc r="B112" t="inlineStr">
      <is>
        <t>WIEDERI</t>
      </is>
    </oc>
    <nc r="B112"/>
  </rcc>
  <rcc rId="739" sId="1" numFmtId="26">
    <oc r="A113">
      <v>2.56712962962963E-2</v>
    </oc>
    <nc r="A113"/>
  </rcc>
  <rcc rId="740" sId="1">
    <oc r="B113">
      <v>26</v>
    </oc>
    <nc r="B113"/>
  </rcc>
  <rcc rId="741" sId="1" numFmtId="26">
    <oc r="A114">
      <v>2.7152777777777779E-2</v>
    </oc>
    <nc r="A114"/>
  </rcc>
  <rcc rId="742" sId="1">
    <oc r="B114" t="inlineStr">
      <is>
        <t>Rüstwert</t>
      </is>
    </oc>
    <nc r="B114"/>
  </rcc>
  <rcc rId="743" sId="1" numFmtId="26">
    <oc r="A115">
      <v>2.732638888888889E-2</v>
    </oc>
    <nc r="A115"/>
  </rcc>
  <rcc rId="744" sId="1">
    <oc r="B115" t="inlineStr">
      <is>
        <t>ersetzen</t>
      </is>
    </oc>
    <nc r="B115"/>
  </rcc>
  <rcc rId="745" sId="1" numFmtId="26">
    <oc r="A116">
      <v>2.7847222222222221E-2</v>
    </oc>
    <nc r="A116"/>
  </rcc>
  <rcc rId="746" sId="1">
    <oc r="B116" t="inlineStr">
      <is>
        <t>13,5</t>
      </is>
    </oc>
    <nc r="B116"/>
  </rcc>
  <rcc rId="747" sId="1" numFmtId="26">
    <oc r="A117">
      <v>2.836805555555556E-2</v>
    </oc>
    <nc r="A117"/>
  </rcc>
  <rcc rId="748" sId="1">
    <oc r="B117" t="inlineStr">
      <is>
        <t>ausrüstest.</t>
      </is>
    </oc>
    <nc r="B117"/>
  </rcc>
  <rcc rId="749" sId="1" numFmtId="26">
    <oc r="A118">
      <v>3.9907407407407412E-2</v>
    </oc>
    <nc r="A118"/>
  </rcc>
  <rcc rId="750" sId="1">
    <oc r="B118" t="inlineStr">
      <is>
        <t>E</t>
      </is>
    </oc>
    <nc r="B118"/>
  </rcc>
  <rcc rId="751" sId="1" numFmtId="26">
    <oc r="A119">
      <v>4.5023148148148145E-2</v>
    </oc>
    <nc r="A119"/>
  </rcc>
  <rcc rId="752" sId="1">
    <oc r="B119" t="inlineStr">
      <is>
        <t>rch.</t>
      </is>
    </oc>
    <nc r="B119"/>
  </rcc>
  <rcc rId="753" sId="1" numFmtId="26">
    <oc r="A120">
      <v>4.7731481481481486E-2</v>
    </oc>
    <nc r="A120"/>
  </rcc>
  <rcc rId="754" sId="1">
    <oc r="B120" t="inlineStr">
      <is>
        <t>E</t>
      </is>
    </oc>
    <nc r="B120"/>
  </rcc>
  <rcc rId="755" sId="1" numFmtId="26">
    <oc r="A121">
      <v>5.1273148148148151E-2</v>
    </oc>
    <nc r="A121"/>
  </rcc>
  <rcc rId="756" sId="1">
    <oc r="B121" t="inlineStr">
      <is>
        <t>ertin"</t>
      </is>
    </oc>
    <nc r="B121"/>
  </rcc>
  <rcc rId="757" sId="1" numFmtId="26">
    <oc r="A122">
      <v>5.2037037037037041E-2</v>
    </oc>
    <nc r="A122"/>
  </rcc>
  <rcc rId="758" sId="1">
    <oc r="B122" t="inlineStr">
      <is>
        <t>E</t>
      </is>
    </oc>
    <nc r="B122"/>
  </rcc>
  <rcc rId="759" sId="1" numFmtId="26">
    <oc r="A123">
      <v>5.4629629629629632E-2</v>
    </oc>
    <nc r="A123"/>
  </rcc>
  <rcc rId="760" sId="1">
    <oc r="B123" t="inlineStr">
      <is>
        <t>ng:</t>
      </is>
    </oc>
    <nc r="B123"/>
  </rcc>
  <rcc rId="761" sId="1" numFmtId="26">
    <oc r="A124">
      <v>6.1782407407407404E-2</v>
    </oc>
    <nc r="A124"/>
  </rcc>
  <rcc rId="762" sId="1">
    <oc r="B124" t="inlineStr">
      <is>
        <t>E</t>
      </is>
    </oc>
    <nc r="B124"/>
  </rcc>
  <rcc rId="763" sId="1" numFmtId="26">
    <oc r="A125">
      <v>6.5578703703703708E-2</v>
    </oc>
    <nc r="A125"/>
  </rcc>
  <rcc rId="764" sId="1">
    <oc r="B125" t="inlineStr">
      <is>
        <t>ORSTE</t>
      </is>
    </oc>
    <nc r="B125"/>
  </rcc>
  <rcc rId="765" sId="1" numFmtId="26">
    <oc r="A126">
      <v>7.4166666666666659E-2</v>
    </oc>
    <nc r="A126"/>
  </rcc>
  <rcc rId="766" sId="1">
    <oc r="B126" t="inlineStr">
      <is>
        <t>KLE</t>
      </is>
    </oc>
    <nc r="B126"/>
  </rcc>
  <rcc rId="767" sId="1" numFmtId="26">
    <oc r="A127">
      <v>8.8946759259259267E-2</v>
    </oc>
    <nc r="A127"/>
  </rcc>
  <rcc rId="768" sId="1">
    <oc r="B127">
      <v>29</v>
    </oc>
    <nc r="B127"/>
  </rcc>
  <rcc rId="769" sId="1" numFmtId="26">
    <oc r="A128">
      <v>9.3368055555555551E-2</v>
    </oc>
    <nc r="A128"/>
  </rcc>
  <rcc rId="770" sId="1">
    <oc r="B128" t="inlineStr">
      <is>
        <t>H</t>
      </is>
    </oc>
    <nc r="B128"/>
  </rcc>
  <rcc rId="771" sId="1" numFmtId="26">
    <oc r="A129">
      <v>9.5104166666666656E-2</v>
    </oc>
    <nc r="A129"/>
  </rcc>
  <rcc rId="772" sId="1">
    <oc r="B129" t="inlineStr">
      <is>
        <t>Gesandteees</t>
      </is>
    </oc>
    <nc r="B129"/>
  </rcc>
  <rcc rId="773" sId="1" numFmtId="26">
    <oc r="A130">
      <v>0.10334490740740741</v>
    </oc>
    <nc r="A130"/>
  </rcc>
  <rcc rId="774" sId="1">
    <oc r="B130" t="inlineStr">
      <is>
        <t>Einsatz</t>
      </is>
    </oc>
    <nc r="B130"/>
  </rcc>
  <rcc rId="775" sId="1" numFmtId="26">
    <oc r="A131">
      <v>0.10447916666666666</v>
    </oc>
    <nc r="A131"/>
  </rcc>
  <rcc rId="776" sId="1">
    <oc r="B131" t="inlineStr">
      <is>
        <t>HOLZVi</t>
      </is>
    </oc>
    <nc r="B131"/>
  </rcc>
  <rcc rId="777" sId="1" numFmtId="26">
    <oc r="A132">
      <v>0.10524305555555556</v>
    </oc>
    <nc r="A132"/>
  </rcc>
  <rcc rId="778" sId="1">
    <oc r="B132">
      <v>233</v>
    </oc>
    <nc r="B132"/>
  </rcc>
  <rcc rId="779" sId="1" numFmtId="26">
    <oc r="A133">
      <v>0.10697916666666667</v>
    </oc>
    <nc r="A133"/>
  </rcc>
  <rcc rId="780" sId="1">
    <oc r="B133" t="inlineStr">
      <is>
        <t>der</t>
      </is>
    </oc>
    <nc r="B133"/>
  </rcc>
  <rcc rId="781" sId="1" numFmtId="26">
    <oc r="A134">
      <v>0.11157407407407406</v>
    </oc>
    <nc r="A134"/>
  </rcc>
  <rcc rId="782" sId="1">
    <oc r="B134">
      <v>28</v>
    </oc>
    <nc r="B134"/>
  </rcc>
  <rcc rId="783" sId="1" numFmtId="26">
    <oc r="A135">
      <v>0.11234953703703704</v>
    </oc>
    <nc r="A135"/>
  </rcc>
  <rcc rId="784" sId="1">
    <oc r="B135" t="inlineStr">
      <is>
        <t>DPK</t>
      </is>
    </oc>
    <nc r="B135"/>
  </rcc>
  <rcc rId="785" sId="1" numFmtId="26">
    <oc r="A136">
      <v>0.1146875</v>
    </oc>
    <nc r="A136"/>
  </rcc>
  <rcc rId="786" sId="1">
    <oc r="B136" t="inlineStr">
      <is>
        <t>Sto</t>
      </is>
    </oc>
    <nc r="B136"/>
  </rcc>
  <rcc rId="787" sId="1" numFmtId="26">
    <oc r="A137">
      <v>0.12192129629629629</v>
    </oc>
    <nc r="A137"/>
  </rcc>
  <rcc rId="788" sId="1">
    <oc r="B137" t="inlineStr">
      <is>
        <t>Lal</t>
      </is>
    </oc>
    <nc r="B137"/>
  </rcc>
</revisions>
</file>

<file path=xl/revisions/revisionLog13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789" sId="1" numFmtId="25">
    <oc r="A2">
      <v>0.93427083333333327</v>
    </oc>
    <nc r="A2">
      <v>0.75627314814814817</v>
    </nc>
  </rcc>
  <rcc rId="790" sId="1">
    <oc r="B2">
      <v>114</v>
    </oc>
    <nc r="B2" t="inlineStr">
      <is>
        <t>Di.</t>
      </is>
    </nc>
  </rcc>
</revisions>
</file>

<file path=xl/revisions/revisionLog13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791" sId="1" numFmtId="25">
    <oc r="A2">
      <v>0.75627314814814817</v>
    </oc>
    <nc r="A2"/>
  </rcc>
  <rcc rId="792" sId="1">
    <oc r="B2" t="inlineStr">
      <is>
        <t>Di.</t>
      </is>
    </oc>
    <nc r="B2"/>
  </rcc>
  <rcc rId="793" sId="1" numFmtId="25">
    <oc r="A3">
      <v>0.93444444444444441</v>
    </oc>
    <nc r="A3"/>
  </rcc>
  <rcc rId="794" sId="1">
    <oc r="B3">
      <v>113</v>
    </oc>
    <nc r="B3"/>
  </rcc>
  <rcc rId="795" sId="1">
    <oc r="C3">
      <f>IF(ISNUMBER(B2),SUM(B2-B3)*(60/SUM((A3-A2)*24*60*60)),"")</f>
    </oc>
    <nc r="C3"/>
  </rcc>
  <rcc rId="796" sId="1">
    <oc r="D3">
      <f>IF(ISNUMBER(C3),SUM(B3/C3),"")</f>
    </oc>
    <nc r="D3"/>
  </rcc>
  <rcc rId="797" sId="1" numFmtId="25">
    <oc r="A4">
      <v>0.93496527777777771</v>
    </oc>
    <nc r="A4"/>
  </rcc>
  <rcc rId="798" sId="1">
    <oc r="B4">
      <v>103</v>
    </oc>
    <nc r="B4"/>
  </rcc>
  <rcc rId="799" sId="1">
    <oc r="C4">
      <f>IF(ISNUMBER(B3),SUM(B3-B4)*(60/SUM((A4-A3)*24*60*60)),"")</f>
    </oc>
    <nc r="C4"/>
  </rcc>
  <rcc rId="800" sId="1">
    <oc r="D4">
      <f>IF(ISNUMBER(C4),SUM(B4/C4),"")</f>
    </oc>
    <nc r="D4"/>
  </rcc>
  <rcc rId="801" sId="1" numFmtId="25">
    <oc r="A5">
      <v>0.9353703703703703</v>
    </oc>
    <nc r="A5"/>
  </rcc>
  <rcc rId="802" sId="1">
    <oc r="B5">
      <v>98</v>
    </oc>
    <nc r="B5"/>
  </rcc>
  <rcc rId="803" sId="1">
    <oc r="C5">
      <f>IF(ISNUMBER(B4),SUM(B4-B5)*(60/SUM((A5-A4)*24*60*60)),"")</f>
    </oc>
    <nc r="C5"/>
  </rcc>
  <rcc rId="804" sId="1">
    <oc r="D5">
      <f>IF(ISNUMBER(C5),SUM(B5/C5),"")</f>
    </oc>
    <nc r="D5"/>
  </rcc>
  <rcc rId="805" sId="1" numFmtId="25">
    <oc r="A6">
      <v>0.93553240740740751</v>
    </oc>
    <nc r="A6"/>
  </rcc>
  <rcc rId="806" sId="1">
    <oc r="B6">
      <v>94</v>
    </oc>
    <nc r="B6"/>
  </rcc>
  <rcc rId="807" sId="1">
    <oc r="C6">
      <f>IF(ISNUMBER(B5),SUM(B5-B6)*(60/SUM((A6-A5)*24*60*60)),"")</f>
    </oc>
    <nc r="C6"/>
  </rcc>
  <rcc rId="808" sId="1">
    <oc r="D6">
      <f>IF(ISNUMBER(C6),SUM(B6/C6),"")</f>
    </oc>
    <nc r="D6"/>
  </rcc>
  <rcc rId="809" sId="1" numFmtId="25">
    <oc r="A7">
      <v>0.93605324074074081</v>
    </oc>
    <nc r="A7"/>
  </rcc>
  <rcc rId="810" sId="1">
    <oc r="B7">
      <v>72</v>
    </oc>
    <nc r="B7"/>
  </rcc>
  <rcc rId="811" sId="1">
    <oc r="C7">
      <f>IF(ISNUMBER(B6),SUM(B6-B7)*(60/SUM((A7-A6)*24*60*60)),"")</f>
    </oc>
    <nc r="C7"/>
  </rcc>
  <rcc rId="812" sId="1">
    <oc r="D7">
      <f>IF(ISNUMBER(C7),SUM(B7/C7),"")</f>
    </oc>
    <nc r="D7"/>
  </rcc>
  <rcc rId="813" sId="1" numFmtId="25">
    <oc r="A8">
      <v>0.93679398148148152</v>
    </oc>
    <nc r="A8"/>
  </rcc>
  <rcc rId="814" sId="1">
    <oc r="B8">
      <v>65</v>
    </oc>
    <nc r="B8"/>
  </rcc>
  <rcc rId="815" sId="1">
    <oc r="C8">
      <f>IF(ISNUMBER(B7),SUM(B7-B8)*(60/SUM((A8-A7)*24*60*60)),"")</f>
    </oc>
    <nc r="C8"/>
  </rcc>
  <rcc rId="816" sId="1">
    <oc r="D8">
      <f>IF(ISNUMBER(C8),SUM(B8/C8),"")</f>
    </oc>
    <nc r="D8"/>
  </rcc>
  <rcc rId="817" sId="1" numFmtId="25">
    <oc r="A9">
      <v>0.93731481481481482</v>
    </oc>
    <nc r="A9"/>
  </rcc>
  <rcc rId="818" sId="1">
    <oc r="B9">
      <v>60</v>
    </oc>
    <nc r="B9"/>
  </rcc>
  <rcc rId="819" sId="1">
    <oc r="C9">
      <f>IF(ISNUMBER(B8),SUM(B8-B9)*(60/SUM((A9-A8)*24*60*60)),"")</f>
    </oc>
    <nc r="C9"/>
  </rcc>
  <rcc rId="820" sId="1">
    <oc r="D9">
      <f>IF(ISNUMBER(C9),SUM(B9/C9),"")</f>
    </oc>
    <nc r="D9"/>
  </rcc>
  <rcc rId="821" sId="1" numFmtId="25">
    <oc r="A10">
      <v>0.93793981481481481</v>
    </oc>
    <nc r="A10"/>
  </rcc>
  <rcc rId="822" sId="1">
    <oc r="B10">
      <v>51</v>
    </oc>
    <nc r="B10"/>
  </rcc>
  <rcc rId="823" sId="1">
    <oc r="C10">
      <f>IF(ISNUMBER(B9),SUM(B9-B10)*(60/SUM((A10-A9)*24*60*60)),"")</f>
    </oc>
    <nc r="C10"/>
  </rcc>
  <rcc rId="824" sId="1">
    <oc r="D10">
      <f>IF(ISNUMBER(C10),SUM(B10/C10),"")</f>
    </oc>
    <nc r="D10"/>
  </rcc>
  <rcc rId="825" sId="1" numFmtId="25">
    <oc r="A11">
      <v>0.93846064814814811</v>
    </oc>
    <nc r="A11"/>
  </rcc>
  <rcc rId="826" sId="1">
    <oc r="B11">
      <v>36</v>
    </oc>
    <nc r="B11"/>
  </rcc>
  <rcc rId="827" sId="1">
    <oc r="C11">
      <f>IF(ISNUMBER(B10),SUM(B10-B11)*(60/SUM((A11-A10)*24*60*60)),"")</f>
    </oc>
    <nc r="C11"/>
  </rcc>
  <rcc rId="828" sId="1">
    <oc r="D11">
      <f>IF(ISNUMBER(C11),SUM(B11/C11),"")</f>
    </oc>
    <nc r="D11"/>
  </rcc>
  <rcc rId="829" sId="1" numFmtId="25">
    <oc r="A12">
      <v>0.93896990740740749</v>
    </oc>
    <nc r="A12"/>
  </rcc>
  <rcc rId="830" sId="1">
    <oc r="B12">
      <v>31</v>
    </oc>
    <nc r="B12"/>
  </rcc>
  <rcc rId="831" sId="1">
    <oc r="C12">
      <f>IF(ISNUMBER(B11),SUM(B11-B12)*(60/SUM((A12-A11)*24*60*60)),"")</f>
    </oc>
    <nc r="C12"/>
  </rcc>
  <rcc rId="832" sId="1">
    <oc r="D12">
      <f>IF(ISNUMBER(C12),SUM(B12/C12),"")</f>
    </oc>
    <nc r="D12"/>
  </rcc>
  <rcc rId="833" sId="1" numFmtId="25">
    <oc r="A13">
      <v>0.93947916666666664</v>
    </oc>
    <nc r="A13"/>
  </rcc>
  <rcc rId="834" sId="1">
    <oc r="B13">
      <v>23</v>
    </oc>
    <nc r="B13"/>
  </rcc>
  <rcc rId="835" sId="1">
    <oc r="C13">
      <f>IF(ISNUMBER(B12),SUM(B12-B13)*(60/SUM((A13-A12)*24*60*60)),"")</f>
    </oc>
    <nc r="C13"/>
  </rcc>
  <rcc rId="836" sId="1">
    <oc r="D13">
      <f>IF(ISNUMBER(C13),SUM(B13/C13),"")</f>
    </oc>
    <nc r="D13"/>
  </rcc>
  <rcc rId="837" sId="1" numFmtId="25">
    <oc r="A14">
      <v>0.94</v>
    </oc>
    <nc r="A14"/>
  </rcc>
  <rcc rId="838" sId="1">
    <oc r="B14">
      <v>18</v>
    </oc>
    <nc r="B14"/>
  </rcc>
  <rcc rId="839" sId="1">
    <oc r="C14">
      <f>IF(ISNUMBER(B13),SUM(B13-B14)*(60/SUM((A14-A13)*24*60*60)),"")</f>
    </oc>
    <nc r="C14"/>
  </rcc>
  <rcc rId="840" sId="1">
    <oc r="D14">
      <f>IF(ISNUMBER(C14),SUM(B14/C14),"")</f>
    </oc>
    <nc r="D14"/>
  </rcc>
  <rcc rId="841" sId="1" numFmtId="25">
    <oc r="A15">
      <v>0.94075231481481481</v>
    </oc>
    <nc r="A15"/>
  </rcc>
  <rcc rId="842" sId="1">
    <oc r="B15">
      <v>10</v>
    </oc>
    <nc r="B15"/>
  </rcc>
  <rcc rId="843" sId="1">
    <oc r="C15">
      <f>IF(ISNUMBER(B14),SUM(B14-B15)*(60/SUM((A15-A14)*24*60*60)),"")</f>
    </oc>
    <nc r="C15"/>
  </rcc>
  <rcc rId="844" sId="1">
    <oc r="D15">
      <f>IF(ISNUMBER(C15),SUM(B15/C15),"")</f>
    </oc>
    <nc r="D15"/>
  </rcc>
  <rcv guid="{BCD8CDF1-28A7-48ED-B459-CC2754282EBB}" action="delete"/>
  <rcv guid="{BCD8CDF1-28A7-48ED-B459-CC2754282EBB}" action="add"/>
</revisions>
</file>

<file path=xl/revisions/revisionLog13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845" sId="1" numFmtId="25">
    <nc r="A2">
      <v>0.7637962962962962</v>
    </nc>
  </rcc>
  <rcc rId="846" sId="1">
    <nc r="B2">
      <v>9087</v>
    </nc>
  </rcc>
</revisions>
</file>

<file path=xl/revisions/revisionLog13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847" sId="1" numFmtId="25">
    <oc r="A2">
      <v>0.7637962962962962</v>
    </oc>
    <nc r="A2">
      <v>0.76452546296296298</v>
    </nc>
  </rcc>
  <rcc rId="848" sId="1">
    <oc r="B2">
      <v>9087</v>
    </oc>
    <nc r="B2" t="inlineStr">
      <is>
        <t>:</t>
      </is>
    </nc>
  </rcc>
</revisions>
</file>

<file path=xl/revisions/revisionLog14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849" sId="1" numFmtId="25">
    <nc r="A3">
      <v>0.76471064814814815</v>
    </nc>
  </rcc>
  <rcc rId="850" sId="1">
    <nc r="B3" t="inlineStr">
      <is>
        <t>:</t>
      </is>
    </nc>
  </rcc>
</revisions>
</file>

<file path=xl/revisions/revisionLog14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851" sId="1" numFmtId="25">
    <nc r="A4">
      <v>0.76487268518518514</v>
    </nc>
  </rcc>
  <rcc rId="852" sId="1">
    <nc r="B4" t="inlineStr">
      <is>
        <t>:</t>
      </is>
    </nc>
  </rcc>
</revisions>
</file>

<file path=xl/revisions/revisionLog14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853" sId="1" numFmtId="25">
    <oc r="A2">
      <v>0.76452546296296298</v>
    </oc>
    <nc r="A2">
      <v>0.76556712962962958</v>
    </nc>
  </rcc>
  <rcc rId="854" sId="1">
    <oc r="B2" t="inlineStr">
      <is>
        <t>:</t>
      </is>
    </oc>
    <nc r="B2">
      <v>18739</v>
    </nc>
  </rcc>
</revisions>
</file>

<file path=xl/revisions/revisionLog14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855" sId="1" numFmtId="25">
    <oc r="A3">
      <v>0.76471064814814815</v>
    </oc>
    <nc r="A3">
      <v>0.76576388888888891</v>
    </nc>
  </rcc>
</revisions>
</file>

<file path=xl/revisions/revisionLog14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856" sId="1" numFmtId="25">
    <oc r="A4">
      <v>0.76487268518518514</v>
    </oc>
    <nc r="A4">
      <v>0.7659259259259259</v>
    </nc>
  </rcc>
</revisions>
</file>

<file path=xl/revisions/revisionLog14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857" sId="1" numFmtId="25">
    <nc r="A5">
      <v>0.76609953703703704</v>
    </nc>
  </rcc>
  <rcc rId="858" sId="1">
    <nc r="B5" t="inlineStr">
      <is>
        <t>:</t>
      </is>
    </nc>
  </rcc>
</revisions>
</file>

<file path=xl/revisions/revisionLog14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859" sId="1" numFmtId="25">
    <oc r="A3">
      <v>0.76576388888888891</v>
    </oc>
    <nc r="A3">
      <v>0.7674537037037038</v>
    </nc>
  </rcc>
  <rcc rId="860" sId="1">
    <oc r="B3" t="inlineStr">
      <is>
        <t>:</t>
      </is>
    </oc>
    <nc r="B3">
      <v>8436</v>
    </nc>
  </rcc>
</revisions>
</file>

<file path=xl/revisions/revisionLog14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861" sId="1" numFmtId="25">
    <oc r="A2">
      <v>0.76556712962962958</v>
    </oc>
    <nc r="A2">
      <v>0.76817129629629621</v>
    </nc>
  </rcc>
  <rcc rId="862" sId="1">
    <oc r="B2">
      <v>18739</v>
    </oc>
    <nc r="B2">
      <v>8313</v>
    </nc>
  </rcc>
</revisions>
</file>

<file path=xl/revisions/revisionLog14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863" sId="1" numFmtId="25">
    <oc r="A3">
      <v>0.7674537037037038</v>
    </oc>
    <nc r="A3">
      <v>0.76885416666666673</v>
    </nc>
  </rcc>
  <rcc rId="864" sId="1">
    <oc r="B3">
      <v>8436</v>
    </oc>
    <nc r="B3" t="inlineStr">
      <is>
        <t>)913947</t>
      </is>
    </nc>
  </rcc>
</revisions>
</file>

<file path=xl/revisions/revisionLog14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865" sId="1" numFmtId="25">
    <oc r="A4">
      <v>0.7659259259259259</v>
    </oc>
    <nc r="A4">
      <v>0.76902777777777775</v>
    </nc>
  </rcc>
  <rcc rId="866" sId="1">
    <oc r="B4" t="inlineStr">
      <is>
        <t>:</t>
      </is>
    </oc>
    <nc r="B4" t="inlineStr">
      <is>
        <t>)913947</t>
      </is>
    </nc>
  </rcc>
</revisions>
</file>

<file path=xl/revisions/revisionLog15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867" sId="1" numFmtId="25">
    <oc r="A5">
      <v>0.76609953703703704</v>
    </oc>
    <nc r="A5">
      <v>0.76920138888888889</v>
    </nc>
  </rcc>
  <rcc rId="868" sId="1">
    <oc r="B5" t="inlineStr">
      <is>
        <t>:</t>
      </is>
    </oc>
    <nc r="B5" t="inlineStr">
      <is>
        <t>)913947</t>
      </is>
    </nc>
  </rcc>
</revisions>
</file>

<file path=xl/revisions/revisionLog15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869" sId="1" numFmtId="25">
    <oc r="A2">
      <v>0.76817129629629621</v>
    </oc>
    <nc r="A2">
      <v>0.76936342592592588</v>
    </nc>
  </rcc>
  <rcc rId="870" sId="1">
    <oc r="B2">
      <v>8313</v>
    </oc>
    <nc r="B2">
      <v>8092</v>
    </nc>
  </rcc>
</revisions>
</file>

<file path=xl/revisions/revisionLog15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871" sId="1" numFmtId="25">
    <oc r="A3">
      <v>0.76885416666666673</v>
    </oc>
    <nc r="A3">
      <v>0.76956018518518521</v>
    </nc>
  </rcc>
  <rcc rId="872" sId="1">
    <oc r="B3" t="inlineStr">
      <is>
        <t>)913947</t>
      </is>
    </oc>
    <nc r="B3">
      <v>8045</v>
    </nc>
  </rcc>
</revisions>
</file>

<file path=xl/revisions/revisionLog15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873" sId="1" numFmtId="25">
    <oc r="A4">
      <v>0.76902777777777775</v>
    </oc>
    <nc r="A4">
      <v>0.76974537037037039</v>
    </nc>
  </rcc>
  <rcc rId="874" sId="1">
    <oc r="B4" t="inlineStr">
      <is>
        <t>)913947</t>
      </is>
    </oc>
    <nc r="B4">
      <v>913890</v>
    </nc>
  </rcc>
</revisions>
</file>

<file path=xl/revisions/revisionLog15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875" sId="1" numFmtId="25">
    <oc r="A5">
      <v>0.76920138888888889</v>
    </oc>
    <nc r="A5">
      <v>0.7699421296296296</v>
    </nc>
  </rcc>
  <rcc rId="876" sId="1">
    <oc r="B5" t="inlineStr">
      <is>
        <t>)913947</t>
      </is>
    </oc>
    <nc r="B5" t="inlineStr">
      <is>
        <t>amer</t>
      </is>
    </nc>
  </rcc>
</revisions>
</file>

<file path=xl/revisions/revisionLog15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877" sId="1" numFmtId="25">
    <nc r="A6">
      <v>0.77025462962962965</v>
    </nc>
  </rcc>
  <rcc rId="878" sId="1">
    <nc r="B6">
      <v>7921</v>
    </nc>
  </rcc>
</revisions>
</file>

<file path=xl/revisions/revisionLog15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879" sId="1" numFmtId="25">
    <nc r="A7">
      <v>0.77055555555555555</v>
    </nc>
  </rcc>
  <rcc rId="880" sId="1">
    <nc r="B7">
      <v>7843</v>
    </nc>
  </rcc>
</revisions>
</file>

<file path=xl/revisions/revisionLog15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881" sId="1" numFmtId="25">
    <oc r="A2">
      <v>0.76936342592592588</v>
    </oc>
    <nc r="A2">
      <v>0.7716319444444445</v>
    </nc>
  </rcc>
  <rcc rId="882" sId="1">
    <oc r="B2">
      <v>8092</v>
    </oc>
    <nc r="B2">
      <v>7689</v>
    </nc>
  </rcc>
</revisions>
</file>

<file path=xl/revisions/revisionLog15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883" sId="1">
    <oc r="B4">
      <v>913890</v>
    </oc>
    <nc r="B4"/>
  </rcc>
  <rcc rId="884" sId="1">
    <oc r="B5" t="inlineStr">
      <is>
        <t>amer</t>
      </is>
    </oc>
    <nc r="B5"/>
  </rcc>
</revisions>
</file>

<file path=xl/revisions/revisionLog15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885" sId="1" numFmtId="25">
    <oc r="A3">
      <v>0.76956018518518521</v>
    </oc>
    <nc r="A3">
      <v>0.77181712962962967</v>
    </nc>
  </rcc>
  <rcc rId="886" sId="1">
    <oc r="B3">
      <v>8045</v>
    </oc>
    <nc r="B3">
      <v>7645</v>
    </nc>
  </rcc>
</revisions>
</file>

<file path=xl/revisions/revisionLog16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887" sId="1" numFmtId="25">
    <oc r="A4">
      <v>0.76974537037037039</v>
    </oc>
    <nc r="A4"/>
  </rcc>
  <rcc rId="888" sId="1" numFmtId="25">
    <oc r="A5">
      <v>0.7699421296296296</v>
    </oc>
    <nc r="A5"/>
  </rcc>
  <rcc rId="889" sId="1" numFmtId="25">
    <oc r="A6">
      <v>0.77025462962962965</v>
    </oc>
    <nc r="A6"/>
  </rcc>
  <rcc rId="890" sId="1">
    <oc r="B6">
      <v>7921</v>
    </oc>
    <nc r="B6"/>
  </rcc>
  <rcc rId="891" sId="1" numFmtId="25">
    <oc r="A7">
      <v>0.77055555555555555</v>
    </oc>
    <nc r="A7"/>
  </rcc>
  <rcc rId="892" sId="1">
    <oc r="B7">
      <v>7843</v>
    </oc>
    <nc r="B7"/>
  </rcc>
</revisions>
</file>

<file path=xl/revisions/revisionLog16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893" sId="1" numFmtId="25">
    <nc r="A4">
      <v>0.77211805555555557</v>
    </nc>
  </rcc>
  <rcc rId="894" sId="1">
    <nc r="B4" t="inlineStr">
      <is>
        <t>)913711</t>
      </is>
    </nc>
  </rcc>
</revisions>
</file>

<file path=xl/revisions/revisionLog16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895" sId="1" numFmtId="25">
    <oc r="A2">
      <v>0.7716319444444445</v>
    </oc>
    <nc r="A2">
      <v>0.77243055555555562</v>
    </nc>
  </rcc>
  <rcc rId="896" sId="1">
    <oc r="B2">
      <v>7689</v>
    </oc>
    <nc r="B2" t="inlineStr">
      <is>
        <t>amer</t>
      </is>
    </nc>
  </rcc>
</revisions>
</file>

<file path=xl/revisions/revisionLog16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897" sId="1" numFmtId="25">
    <oc r="A3">
      <v>0.77181712962962967</v>
    </oc>
    <nc r="A3">
      <v>0.77262731481481473</v>
    </nc>
  </rcc>
  <rcc rId="898" sId="1">
    <oc r="B3">
      <v>7645</v>
    </oc>
    <nc r="B3">
      <v>7497</v>
    </nc>
  </rcc>
</revisions>
</file>

<file path=xl/revisions/revisionLog16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899" sId="1" numFmtId="25">
    <oc r="A2">
      <v>0.77243055555555562</v>
    </oc>
    <nc r="A2">
      <v>0.7729166666666667</v>
    </nc>
  </rcc>
  <rcc rId="900" sId="1">
    <oc r="B2" t="inlineStr">
      <is>
        <t>amer</t>
      </is>
    </oc>
    <nc r="B2">
      <v>7460</v>
    </nc>
  </rcc>
</revisions>
</file>

<file path=xl/revisions/revisionLog16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901" sId="1" numFmtId="25">
    <oc r="A3">
      <v>0.77262731481481473</v>
    </oc>
    <nc r="A3">
      <v>0.77305555555555561</v>
    </nc>
  </rcc>
  <rcc rId="902" sId="1">
    <oc r="B3">
      <v>7497</v>
    </oc>
    <nc r="B3" t="inlineStr">
      <is>
        <t>amet</t>
      </is>
    </nc>
  </rcc>
</revisions>
</file>

<file path=xl/revisions/revisionLog16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903" sId="1" numFmtId="25">
    <oc r="A4">
      <v>0.77211805555555557</v>
    </oc>
    <nc r="A4">
      <v>0.77317129629629633</v>
    </nc>
  </rcc>
  <rcc rId="904" sId="1">
    <oc r="B4" t="inlineStr">
      <is>
        <t>)913711</t>
      </is>
    </oc>
    <nc r="B4">
      <v>7428</v>
    </nc>
  </rcc>
</revisions>
</file>

<file path=xl/revisions/revisionLog16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905" sId="1" numFmtId="25">
    <nc r="A5">
      <v>0.77335648148148151</v>
    </nc>
  </rcc>
  <rcc rId="906" sId="1">
    <nc r="B5">
      <v>7386</v>
    </nc>
  </rcc>
</revisions>
</file>

<file path=xl/revisions/revisionLog16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907" sId="1" numFmtId="25">
    <nc r="A6">
      <v>0.77353009259259264</v>
    </nc>
  </rcc>
  <rcc rId="908" sId="1">
    <nc r="B6" t="inlineStr">
      <is>
        <t>amer</t>
      </is>
    </nc>
  </rcc>
</revisions>
</file>

<file path=xl/revisions/revisionLog16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909" sId="1" numFmtId="25">
    <nc r="A7">
      <v>0.77364583333333325</v>
    </nc>
  </rcc>
  <rcc rId="910" sId="1">
    <nc r="B7">
      <v>7354</v>
    </nc>
  </rcc>
</revisions>
</file>

<file path=xl/revisions/revisionLog17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911" sId="1" numFmtId="25">
    <nc r="A8">
      <v>0.77383101851851854</v>
    </nc>
  </rcc>
  <rcc rId="912" sId="1">
    <nc r="B8">
      <v>7319</v>
    </nc>
  </rcc>
</revisions>
</file>

<file path=xl/revisions/revisionLog17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913" sId="1" numFmtId="25">
    <oc r="A3">
      <v>0.77305555555555561</v>
    </oc>
    <nc r="A3">
      <v>0.7742013888888889</v>
    </nc>
  </rcc>
  <rcc rId="914" sId="1">
    <oc r="B3" t="inlineStr">
      <is>
        <t>amet</t>
      </is>
    </oc>
    <nc r="B3">
      <v>7281</v>
    </nc>
  </rcc>
</revisions>
</file>

<file path=xl/revisions/revisionLog17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915" sId="1" numFmtId="25">
    <oc r="A4">
      <v>0.77317129629629633</v>
    </oc>
    <nc r="A4">
      <v>0.77444444444444438</v>
    </nc>
  </rcc>
  <rcc rId="916" sId="1">
    <oc r="B4">
      <v>7428</v>
    </oc>
    <nc r="B4">
      <v>7239</v>
    </nc>
  </rcc>
</revisions>
</file>

<file path=xl/revisions/revisionLog17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917" sId="1" numFmtId="25">
    <oc r="A5">
      <v>0.77335648148148151</v>
    </oc>
    <nc r="A5">
      <v>0.77456018518518521</v>
    </nc>
  </rcc>
  <rcc rId="918" sId="1">
    <oc r="B5">
      <v>7386</v>
    </oc>
    <nc r="B5">
      <v>7203</v>
    </nc>
  </rcc>
</revisions>
</file>

<file path=xl/revisions/revisionLog17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BCD8CDF1-28A7-48ED-B459-CC2754282EBB}" action="delete"/>
  <rcv guid="{BCD8CDF1-28A7-48ED-B459-CC2754282EBB}" action="add"/>
</revisions>
</file>

<file path=xl/revisions/revisionLog17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919" sId="1" numFmtId="25">
    <oc r="A6">
      <v>0.77353009259259264</v>
    </oc>
    <nc r="A6">
      <v>0.77475694444444443</v>
    </nc>
  </rcc>
  <rcc rId="920" sId="1">
    <oc r="B6" t="inlineStr">
      <is>
        <t>amer</t>
      </is>
    </oc>
    <nc r="B6">
      <v>7161</v>
    </nc>
  </rcc>
</revisions>
</file>

<file path=xl/revisions/revisionLog17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921" sId="1" numFmtId="25">
    <oc r="A7">
      <v>0.77364583333333325</v>
    </oc>
    <nc r="A7">
      <v>0.77500000000000002</v>
    </nc>
  </rcc>
  <rcc rId="922" sId="1">
    <oc r="B7">
      <v>7354</v>
    </oc>
    <nc r="B7" t="inlineStr">
      <is>
        <t>amer</t>
      </is>
    </nc>
  </rcc>
</revisions>
</file>

<file path=xl/revisions/revisionLog17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923" sId="1" numFmtId="25">
    <oc r="A8">
      <v>0.77383101851851854</v>
    </oc>
    <nc r="A8">
      <v>0.7752430555555555</v>
    </nc>
  </rcc>
  <rcc rId="924" sId="1">
    <oc r="B8">
      <v>7319</v>
    </oc>
    <nc r="B8">
      <v>7090</v>
    </nc>
  </rcc>
</revisions>
</file>

<file path=xl/revisions/revisionLog17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925" sId="1" numFmtId="25">
    <nc r="A9">
      <v>0.7755439814814814</v>
    </nc>
  </rcc>
  <rcc rId="926" sId="1">
    <nc r="B9">
      <v>7045</v>
    </nc>
  </rcc>
</revisions>
</file>

<file path=xl/revisions/revisionLog17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927" sId="1" numFmtId="25">
    <nc r="A10">
      <v>0.77567129629629628</v>
    </nc>
  </rcc>
  <rcc rId="928" sId="1">
    <nc r="B10">
      <v>7012</v>
    </nc>
  </rcc>
</revisions>
</file>

<file path=xl/revisions/revisionLog18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929" sId="1" numFmtId="25">
    <oc r="A2">
      <v>0.7729166666666667</v>
    </oc>
    <nc r="A2">
      <v>0.77589120370370368</v>
    </nc>
  </rcc>
  <rcc rId="930" sId="1">
    <oc r="B2">
      <v>7460</v>
    </oc>
    <nc r="B2">
      <v>6982</v>
    </nc>
  </rcc>
</revisions>
</file>

<file path=xl/revisions/revisionLog18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BCD8CDF1-28A7-48ED-B459-CC2754282EBB}" action="delete"/>
  <rcv guid="{BCD8CDF1-28A7-48ED-B459-CC2754282EBB}" action="add"/>
</revisions>
</file>

<file path=xl/revisions/revisionLog18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931" sId="1" numFmtId="25">
    <oc r="A3">
      <v>0.7742013888888889</v>
    </oc>
    <nc r="A3"/>
  </rcc>
  <rcc rId="932" sId="1">
    <oc r="B3">
      <v>7281</v>
    </oc>
    <nc r="B3"/>
  </rcc>
  <rcc rId="933" sId="1" numFmtId="25">
    <oc r="A4">
      <v>0.77444444444444438</v>
    </oc>
    <nc r="A4"/>
  </rcc>
  <rcc rId="934" sId="1">
    <oc r="B4">
      <v>7239</v>
    </oc>
    <nc r="B4"/>
  </rcc>
  <rcc rId="935" sId="1" numFmtId="25">
    <oc r="A5">
      <v>0.77456018518518521</v>
    </oc>
    <nc r="A5"/>
  </rcc>
  <rcc rId="936" sId="1">
    <oc r="B5">
      <v>7203</v>
    </oc>
    <nc r="B5"/>
  </rcc>
  <rcc rId="937" sId="1" numFmtId="25">
    <oc r="A6">
      <v>0.77475694444444443</v>
    </oc>
    <nc r="A6"/>
  </rcc>
  <rcc rId="938" sId="1">
    <oc r="B6">
      <v>7161</v>
    </oc>
    <nc r="B6"/>
  </rcc>
  <rcc rId="939" sId="1" numFmtId="25">
    <oc r="A7">
      <v>0.77500000000000002</v>
    </oc>
    <nc r="A7"/>
  </rcc>
  <rcc rId="940" sId="1">
    <oc r="B7" t="inlineStr">
      <is>
        <t>amer</t>
      </is>
    </oc>
    <nc r="B7"/>
  </rcc>
  <rcc rId="941" sId="1" numFmtId="25">
    <oc r="A8">
      <v>0.7752430555555555</v>
    </oc>
    <nc r="A8"/>
  </rcc>
  <rcc rId="942" sId="1">
    <oc r="B8">
      <v>7090</v>
    </oc>
    <nc r="B8"/>
  </rcc>
  <rcc rId="943" sId="1" numFmtId="25">
    <oc r="A9">
      <v>0.7755439814814814</v>
    </oc>
    <nc r="A9"/>
  </rcc>
  <rcc rId="944" sId="1">
    <oc r="B9">
      <v>7045</v>
    </oc>
    <nc r="B9"/>
  </rcc>
  <rcc rId="945" sId="1" numFmtId="25">
    <oc r="A10">
      <v>0.77567129629629628</v>
    </oc>
    <nc r="A10"/>
  </rcc>
  <rcc rId="946" sId="1">
    <oc r="B10">
      <v>7012</v>
    </oc>
    <nc r="B10"/>
  </rcc>
</revisions>
</file>

<file path=xl/revisions/revisionLog18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947" sId="1" numFmtId="25">
    <nc r="A3">
      <v>0.77644675925925932</v>
    </nc>
  </rcc>
  <rcc rId="948" sId="1">
    <nc r="B3">
      <v>6897</v>
    </nc>
  </rcc>
</revisions>
</file>

<file path=xl/revisions/revisionLog18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949" sId="1" numFmtId="25">
    <nc r="A4">
      <v>0.7766319444444445</v>
    </nc>
  </rcc>
  <rcc rId="950" sId="1">
    <nc r="B4">
      <v>6862</v>
    </nc>
  </rcc>
</revisions>
</file>

<file path=xl/revisions/revisionLog18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951" sId="1" numFmtId="25">
    <nc r="A5">
      <v>0.77688657407407413</v>
    </nc>
  </rcc>
  <rcc rId="952" sId="1">
    <nc r="B5">
      <v>913375</v>
    </nc>
  </rcc>
</revisions>
</file>

<file path=xl/revisions/revisionLog18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953" sId="1" numFmtId="25">
    <nc r="A6">
      <v>0.77756944444444442</v>
    </nc>
  </rcc>
  <rcc rId="954" sId="1">
    <nc r="B6">
      <v>6735</v>
    </nc>
  </rcc>
</revisions>
</file>

<file path=xl/revisions/revisionLog18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955" sId="1" numFmtId="25">
    <nc r="A7">
      <v>0.77781250000000002</v>
    </nc>
  </rcc>
  <rcc rId="956" sId="1">
    <nc r="B7">
      <v>6701</v>
    </nc>
  </rcc>
</revisions>
</file>

<file path=xl/revisions/revisionLog18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957" sId="1" numFmtId="25">
    <nc r="A8">
      <v>0.77806712962962965</v>
    </nc>
  </rcc>
  <rcc rId="958" sId="1">
    <nc r="B8">
      <v>6674</v>
    </nc>
  </rcc>
</revisions>
</file>

<file path=xl/revisions/revisionLog18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959" sId="1" numFmtId="25">
    <nc r="A9">
      <v>0.77818287037037026</v>
    </nc>
  </rcc>
  <rcc rId="960" sId="1">
    <nc r="B9">
      <v>6639</v>
    </nc>
  </rcc>
</revisions>
</file>

<file path=xl/revisions/revisionLog19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961" sId="1" numFmtId="25">
    <nc r="A10">
      <v>0.77849537037037031</v>
    </nc>
  </rcc>
  <rcc rId="962" sId="1">
    <nc r="B10">
      <v>6602</v>
    </nc>
  </rcc>
</revisions>
</file>

<file path=xl/revisions/revisionLog19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963" sId="1" numFmtId="25">
    <nc r="A11">
      <v>0.77866898148148145</v>
    </nc>
  </rcc>
  <rcc rId="964" sId="1">
    <nc r="B11">
      <v>6564</v>
    </nc>
  </rcc>
</revisions>
</file>

<file path=xl/revisions/revisionLog19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965" sId="1" numFmtId="25">
    <nc r="A12">
      <v>0.77892361111111119</v>
    </nc>
  </rcc>
  <rcc rId="966" sId="1">
    <nc r="B12">
      <v>6545</v>
    </nc>
  </rcc>
</revisions>
</file>

<file path=xl/revisions/revisionLog19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967" sId="1" numFmtId="25">
    <nc r="A13">
      <v>0.77916666666666667</v>
    </nc>
  </rcc>
  <rcc rId="968" sId="1">
    <nc r="B13">
      <v>913244</v>
    </nc>
  </rcc>
</revisions>
</file>

<file path=xl/revisions/revisionLog19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969" sId="1">
    <oc r="B5">
      <v>913375</v>
    </oc>
    <nc r="B5"/>
  </rcc>
  <rcc rId="970" sId="1" numFmtId="25">
    <oc r="A5">
      <v>0.77688657407407413</v>
    </oc>
    <nc r="A5"/>
  </rcc>
  <rrc rId="971" sId="1" ref="A5:XFD5" action="deleteRow">
    <rfmt sheetId="1" xfDxf="1" sqref="A5:XFD5" start="0" length="0"/>
    <rfmt sheetId="1" sqref="A5" start="0" length="0">
      <dxf>
        <numFmt numFmtId="25" formatCode="hh:mm"/>
        <alignment horizontal="center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B5" start="0" length="0">
      <dxf>
        <alignment horizontal="center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C5" start="0" length="0">
      <dxf>
        <numFmt numFmtId="1" formatCode="0"/>
        <alignment horizontal="center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5" start="0" length="0">
      <dxf>
        <numFmt numFmtId="164" formatCode="#\ &quot;min&quot;"/>
        <alignment horizontal="center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</revisions>
</file>

<file path=xl/revisions/revisionLog19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972" sId="1" numFmtId="25">
    <nc r="A14">
      <v>0.7794212962962962</v>
    </nc>
  </rcc>
  <rcc rId="973" sId="1">
    <nc r="B14">
      <v>6480</v>
    </nc>
  </rcc>
</revisions>
</file>

<file path=xl/revisions/revisionLog19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974" sId="1" numFmtId="25">
    <nc r="A15">
      <v>0.77960648148148148</v>
    </nc>
  </rcc>
  <rcc rId="975" sId="1">
    <nc r="B15">
      <v>6443</v>
    </nc>
  </rcc>
</revisions>
</file>

<file path=xl/revisions/revisionLog19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976" sId="1" numFmtId="25">
    <nc r="A16">
      <v>0.77991898148148142</v>
    </nc>
  </rcc>
  <rcc rId="977" sId="1">
    <nc r="B16">
      <v>6408</v>
    </nc>
  </rcc>
</revisions>
</file>

<file path=xl/revisions/revisionLog19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978" sId="1" numFmtId="25">
    <nc r="A17">
      <v>0.78004629629629629</v>
    </nc>
  </rcc>
  <rcc rId="979" sId="1">
    <nc r="B17">
      <v>6361</v>
    </nc>
  </rcc>
</revisions>
</file>

<file path=xl/revisions/revisionLog19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980" sId="1" numFmtId="25">
    <nc r="A18">
      <v>0.78030092592592604</v>
    </nc>
  </rcc>
  <rcc rId="981" sId="1">
    <nc r="B18">
      <v>6333</v>
    </nc>
  </rcc>
</revisions>
</file>

<file path=xl/revisions/revisionLog20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982" sId="1" numFmtId="25">
    <nc r="A19">
      <v>0.78061342592592586</v>
    </nc>
  </rcc>
  <rcc rId="983" sId="1">
    <nc r="B19">
      <v>6306</v>
    </nc>
  </rcc>
</revisions>
</file>

<file path=xl/revisions/revisionLog20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984" sId="1" numFmtId="25">
    <nc r="A20">
      <v>0.78079861111111104</v>
    </nc>
  </rcc>
  <rcc rId="985" sId="1">
    <nc r="B20">
      <v>6270</v>
    </nc>
  </rcc>
</revisions>
</file>

<file path=xl/revisions/revisionLog20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986" sId="1" numFmtId="25">
    <nc r="A21">
      <v>0.78098379629629633</v>
    </nc>
  </rcc>
  <rcc rId="987" sId="1">
    <nc r="B21">
      <v>6242</v>
    </nc>
  </rcc>
</revisions>
</file>

<file path=xl/revisions/revisionLog20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988" sId="1" numFmtId="25">
    <nc r="A22">
      <v>0.78129629629629627</v>
    </nc>
  </rcc>
  <rcc rId="989" sId="1">
    <nc r="B22">
      <v>913112</v>
    </nc>
  </rcc>
</revisions>
</file>

<file path=xl/revisions/revisionLog20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990" sId="1" numFmtId="25">
    <nc r="A23">
      <v>0.78143518518518518</v>
    </nc>
  </rcc>
  <rcc rId="991" sId="1">
    <nc r="B23">
      <v>913100</v>
    </nc>
  </rcc>
</revisions>
</file>

<file path=xl/revisions/revisionLog20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992" sId="1" numFmtId="25">
    <nc r="A24">
      <v>0.78167824074074066</v>
    </nc>
  </rcc>
  <rcc rId="993" sId="1">
    <nc r="B24">
      <v>913095</v>
    </nc>
  </rcc>
</revisions>
</file>

<file path=xl/revisions/revisionLog20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994" sId="1" numFmtId="25">
    <nc r="A25">
      <v>0.7819328703703704</v>
    </nc>
  </rcc>
  <rcc rId="995" sId="1">
    <nc r="B25">
      <v>913079</v>
    </nc>
  </rcc>
</revisions>
</file>

<file path=xl/revisions/revisionLog20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996" sId="1" numFmtId="25">
    <nc r="A26">
      <v>0.78218750000000004</v>
    </nc>
  </rcc>
  <rcc rId="997" sId="1">
    <nc r="B26">
      <v>6070</v>
    </nc>
  </rcc>
</revisions>
</file>

<file path=xl/revisions/revisionLog20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998" sId="1" numFmtId="25">
    <nc r="A27">
      <v>0.78243055555555552</v>
    </nc>
  </rcc>
  <rcc rId="999" sId="1">
    <nc r="B27">
      <v>6035</v>
    </nc>
  </rcc>
</revisions>
</file>

<file path=xl/revisions/revisionLog20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000" sId="1" numFmtId="25">
    <nc r="A28">
      <v>0.78312500000000007</v>
    </nc>
  </rcc>
  <rcc rId="1001" sId="1">
    <nc r="B28">
      <v>913004</v>
    </nc>
  </rcc>
</revisions>
</file>

<file path=xl/revisions/revisionLog21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002" sId="1" numFmtId="25">
    <nc r="A29">
      <v>0.78355324074074073</v>
    </nc>
  </rcc>
  <rcc rId="1003" sId="1">
    <nc r="B29">
      <v>5845</v>
    </nc>
  </rcc>
</revisions>
</file>

<file path=xl/revisions/revisionLog21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004" sId="1" numFmtId="25">
    <nc r="A30">
      <v>0.7840625</v>
    </nc>
  </rcc>
  <rcc rId="1005" sId="1">
    <nc r="B30">
      <v>5769</v>
    </nc>
  </rcc>
</revisions>
</file>

<file path=xl/revisions/revisionLog21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006" sId="1" numFmtId="25">
    <nc r="A31">
      <v>0.78449074074074077</v>
    </nc>
  </rcc>
  <rcc rId="1007" sId="1">
    <nc r="B31">
      <v>5702</v>
    </nc>
  </rcc>
</revisions>
</file>

<file path=xl/revisions/revisionLog21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008" sId="1" numFmtId="25">
    <nc r="A32">
      <v>0.78481481481481474</v>
    </nc>
  </rcc>
  <rcc rId="1009" sId="1">
    <nc r="B32">
      <v>5656</v>
    </nc>
  </rcc>
</revisions>
</file>

<file path=xl/revisions/revisionLog21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010" sId="1" numFmtId="25">
    <nc r="A33">
      <v>0.78494212962962961</v>
    </nc>
  </rcc>
  <rcc rId="1011" sId="1">
    <nc r="B33">
      <v>5622</v>
    </nc>
  </rcc>
</revisions>
</file>

<file path=xl/revisions/revisionLog21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012" sId="1" numFmtId="25">
    <nc r="A34">
      <v>0.78525462962962955</v>
    </nc>
  </rcc>
  <rcc rId="1013" sId="1">
    <nc r="B34">
      <v>5593</v>
    </nc>
  </rcc>
</revisions>
</file>

<file path=xl/revisions/revisionLog21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014" sId="1" numFmtId="25">
    <nc r="A35">
      <v>0.78537037037037039</v>
    </nc>
  </rcc>
  <rcc rId="1015" sId="1">
    <nc r="B35">
      <v>5572</v>
    </nc>
  </rcc>
</revisions>
</file>

<file path=xl/revisions/revisionLog21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016" sId="1" numFmtId="25">
    <nc r="A36">
      <v>0.78562500000000002</v>
    </nc>
  </rcc>
  <rcc rId="1017" sId="1">
    <nc r="B36">
      <v>5542</v>
    </nc>
  </rcc>
</revisions>
</file>

<file path=xl/revisions/revisionLog21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018" sId="1" numFmtId="25">
    <nc r="A37">
      <v>0.78587962962962965</v>
    </nc>
  </rcc>
  <rcc rId="1019" sId="1">
    <nc r="B37">
      <v>5506</v>
    </nc>
  </rcc>
</revisions>
</file>

<file path=xl/revisions/revisionLog21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020" sId="1" numFmtId="25">
    <nc r="A38">
      <v>0.78612268518518524</v>
    </nc>
  </rcc>
  <rcc rId="1021" sId="1">
    <nc r="B38">
      <v>5473</v>
    </nc>
  </rcc>
</revisions>
</file>

<file path=xl/revisions/revisionLog22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022" sId="1" numFmtId="25">
    <nc r="A39">
      <v>0.78630787037037031</v>
    </nc>
  </rcc>
  <rcc rId="1023" sId="1">
    <nc r="B39">
      <v>5431</v>
    </nc>
  </rcc>
</revisions>
</file>

<file path=xl/revisions/revisionLog22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024" sId="1" numFmtId="25">
    <nc r="A40">
      <v>0.78662037037037036</v>
    </nc>
  </rcc>
  <rcc rId="1025" sId="1">
    <nc r="B40">
      <v>5407</v>
    </nc>
  </rcc>
</revisions>
</file>

<file path=xl/revisions/revisionLog22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026" sId="1" numFmtId="25">
    <nc r="A41">
      <v>0.78674768518518512</v>
    </nc>
  </rcc>
  <rcc rId="1027" sId="1">
    <nc r="B41">
      <v>5371</v>
    </nc>
  </rcc>
</revisions>
</file>

<file path=xl/revisions/revisionLog22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028" sId="1" numFmtId="25">
    <nc r="A42">
      <v>0.78700231481481486</v>
    </nc>
  </rcc>
  <rcc rId="1029" sId="1">
    <nc r="B42">
      <v>5334</v>
    </nc>
  </rcc>
</revisions>
</file>

<file path=xl/revisions/revisionLog22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030" sId="1" numFmtId="25">
    <nc r="A43">
      <v>0.7872569444444445</v>
    </nc>
  </rcc>
  <rcc rId="1031" sId="1">
    <nc r="B43">
      <v>5290</v>
    </nc>
  </rcc>
</revisions>
</file>

<file path=xl/revisions/revisionLog22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032" sId="1" numFmtId="25">
    <nc r="A44">
      <v>0.78749999999999998</v>
    </nc>
  </rcc>
  <rcc rId="1033" sId="1">
    <nc r="B44">
      <v>5258</v>
    </nc>
  </rcc>
</revisions>
</file>

<file path=xl/revisions/revisionLog22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034" sId="1" numFmtId="25">
    <nc r="A45">
      <v>0.78775462962962972</v>
    </nc>
  </rcc>
  <rcc rId="1035" sId="1">
    <nc r="B45">
      <v>5226</v>
    </nc>
  </rcc>
</revisions>
</file>

<file path=xl/revisions/revisionLog22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036" sId="1" numFmtId="25">
    <nc r="A46">
      <v>0.78806712962962966</v>
    </nc>
  </rcc>
  <rcc rId="1037" sId="1">
    <nc r="B46">
      <v>5200</v>
    </nc>
  </rcc>
</revisions>
</file>

<file path=xl/revisions/revisionLog22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038" sId="1" numFmtId="25">
    <nc r="A47">
      <v>0.78832175925925929</v>
    </nc>
  </rcc>
  <rcc rId="1039" sId="1">
    <nc r="B47">
      <v>912697</v>
    </nc>
  </rcc>
</revisions>
</file>

<file path=xl/revisions/revisionLog22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040" sId="1" numFmtId="25">
    <nc r="A48">
      <v>0.78844907407407405</v>
    </nc>
  </rcc>
  <rcc rId="1041" sId="1">
    <nc r="B48">
      <v>912678</v>
    </nc>
  </rcc>
</revisions>
</file>

<file path=xl/revisions/revisionLog23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042" sId="1" numFmtId="25">
    <nc r="A49">
      <v>0.78863425925925934</v>
    </nc>
  </rcc>
  <rcc rId="1043" sId="1">
    <nc r="B49">
      <v>5083</v>
    </nc>
  </rcc>
</revisions>
</file>

<file path=xl/revisions/revisionLog23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044" sId="1" numFmtId="25">
    <nc r="A50">
      <v>0.78888888888888886</v>
    </nc>
  </rcc>
  <rcc rId="1045" sId="1">
    <nc r="B50">
      <v>5042</v>
    </nc>
  </rcc>
</revisions>
</file>

<file path=xl/revisions/revisionLog23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046" sId="1" numFmtId="25">
    <nc r="A51">
      <v>0.78932870370370367</v>
    </nc>
  </rcc>
  <rcc rId="1047" sId="1">
    <nc r="B51">
      <v>4965</v>
    </nc>
  </rcc>
</revisions>
</file>

<file path=xl/revisions/revisionLog23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048" sId="1" numFmtId="26">
    <nc r="A52">
      <v>0.78969907407407414</v>
    </nc>
  </rcc>
  <rcc rId="1049" sId="1">
    <nc r="B52">
      <v>912614</v>
    </nc>
  </rcc>
</revisions>
</file>

<file path=xl/revisions/revisionLog23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050" sId="1" numFmtId="26">
    <nc r="A53">
      <v>0.7898842592592592</v>
    </nc>
  </rcc>
  <rcc rId="1051" sId="1">
    <nc r="B53">
      <v>912597</v>
    </nc>
  </rcc>
</revisions>
</file>

<file path=xl/revisions/revisionLog23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052" sId="1" numFmtId="26">
    <nc r="A54">
      <v>0.79006944444444438</v>
    </nc>
  </rcc>
  <rcc rId="1053" sId="1">
    <nc r="B54">
      <v>4861</v>
    </nc>
  </rcc>
</revisions>
</file>

<file path=xl/revisions/revisionLog23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054" sId="1" numFmtId="26">
    <nc r="A55">
      <v>0.79039351851851858</v>
    </nc>
  </rcc>
  <rcc rId="1055" sId="1">
    <nc r="B55">
      <v>912576</v>
    </nc>
  </rcc>
</revisions>
</file>

<file path=xl/revisions/revisionLog23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056" sId="1" numFmtId="26">
    <nc r="A56">
      <v>0.79101851851851857</v>
    </nc>
  </rcc>
  <rcc rId="1057" sId="1">
    <nc r="B56">
      <v>4715</v>
    </nc>
  </rcc>
</revisions>
</file>

<file path=xl/revisions/revisionLog23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058" sId="1" numFmtId="26">
    <nc r="A57">
      <v>0.79115740740740748</v>
    </nc>
  </rcc>
  <rcc rId="1059" sId="1">
    <nc r="B57">
      <v>912527</v>
    </nc>
  </rcc>
</revisions>
</file>

<file path=xl/revisions/revisionLog23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060" sId="1" numFmtId="26">
    <nc r="A58">
      <v>0.79141203703703711</v>
    </nc>
  </rcc>
  <rcc rId="1061" sId="1">
    <nc r="B58">
      <v>912511</v>
    </nc>
  </rcc>
</revisions>
</file>

<file path=xl/revisions/revisionLog24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062" sId="1" numFmtId="26">
    <nc r="A59">
      <v>0.79190972222222211</v>
    </nc>
  </rcc>
  <rcc rId="1063" sId="1">
    <nc r="B59">
      <v>912489</v>
    </nc>
  </rcc>
</revisions>
</file>

<file path=xl/revisions/revisionLog24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064" sId="1" numFmtId="26">
    <nc r="A60">
      <v>0.79236111111111107</v>
    </nc>
  </rcc>
  <rcc rId="1065" sId="1">
    <nc r="B60">
      <v>912454</v>
    </nc>
  </rcc>
</revisions>
</file>

<file path=xl/revisions/revisionLog24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066" sId="1" numFmtId="26">
    <nc r="A61">
      <v>0.7926157407407407</v>
    </nc>
  </rcc>
  <rcc rId="1067" sId="1">
    <nc r="B61">
      <v>912431</v>
    </nc>
  </rcc>
</revisions>
</file>

<file path=xl/revisions/revisionLog24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068" sId="1" numFmtId="26">
    <nc r="A62">
      <v>0.79293981481481479</v>
    </nc>
  </rcc>
  <rcc rId="1069" sId="1">
    <nc r="B62">
      <v>912413</v>
    </nc>
  </rcc>
</revisions>
</file>

<file path=xl/revisions/revisionLog24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070" sId="1" numFmtId="26">
    <nc r="A63">
      <v>0.79356481481481478</v>
    </nc>
  </rcc>
  <rcc rId="1071" sId="1">
    <nc r="B63">
      <v>912378</v>
    </nc>
  </rcc>
</revisions>
</file>

<file path=xl/revisions/revisionLog24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072" sId="1" numFmtId="26">
    <nc r="A64">
      <v>0.79369212962962965</v>
    </nc>
  </rcc>
  <rcc rId="1073" sId="1">
    <nc r="B64">
      <v>4259</v>
    </nc>
  </rcc>
</revisions>
</file>

<file path=xl/revisions/revisionLog24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074" sId="1" numFmtId="26">
    <nc r="A65">
      <v>0.79394675925925917</v>
    </nc>
  </rcc>
  <rcc rId="1075" sId="1">
    <nc r="B65">
      <v>4217</v>
    </nc>
  </rcc>
</revisions>
</file>

<file path=xl/revisions/revisionLog24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076" sId="1" numFmtId="26">
    <nc r="A66">
      <v>0.79425925925925922</v>
    </nc>
  </rcc>
  <rcc rId="1077" sId="1">
    <nc r="B66">
      <v>4191</v>
    </nc>
  </rcc>
</revisions>
</file>

<file path=xl/revisions/revisionLog24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078" sId="1" numFmtId="26">
    <nc r="A67">
      <v>0.79451388888888885</v>
    </nc>
  </rcc>
  <rcc rId="1079" sId="1">
    <nc r="B67">
      <v>4158</v>
    </nc>
  </rcc>
</revisions>
</file>

<file path=xl/revisions/revisionLog24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080" sId="1" numFmtId="26">
    <nc r="A68">
      <v>0.79464120370370372</v>
    </nc>
  </rcc>
  <rcc rId="1081" sId="1">
    <nc r="B68">
      <v>4123</v>
    </nc>
  </rcc>
</revisions>
</file>

<file path=xl/revisions/revisionLog25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082" sId="1" numFmtId="26">
    <nc r="A69">
      <v>0.79520833333333341</v>
    </nc>
  </rcc>
  <rcc rId="1083" sId="1">
    <nc r="B69">
      <v>912307</v>
    </nc>
  </rcc>
</revisions>
</file>

<file path=xl/revisions/revisionLog25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084" sId="1" numFmtId="26">
    <nc r="A70">
      <v>0.79546296296296293</v>
    </nc>
  </rcc>
  <rcc rId="1085" sId="1">
    <nc r="B70">
      <v>912292</v>
    </nc>
  </rcc>
</revisions>
</file>

<file path=xl/revisions/revisionLog25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086" sId="1" numFmtId="26">
    <nc r="A71">
      <v>0.79564814814814822</v>
    </nc>
  </rcc>
  <rcc rId="1087" sId="1">
    <nc r="B71">
      <v>3971</v>
    </nc>
  </rcc>
</revisions>
</file>

<file path=xl/revisions/revisionLog25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088" sId="1" numFmtId="26">
    <nc r="A72">
      <v>0.79578703703703713</v>
    </nc>
  </rcc>
  <rcc rId="1089" sId="1">
    <nc r="B72">
      <v>3933</v>
    </nc>
  </rcc>
</revisions>
</file>

<file path=xl/revisions/revisionLog25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090" sId="1" numFmtId="26">
    <nc r="A73">
      <v>0.79603009259259261</v>
    </nc>
  </rcc>
  <rcc rId="1091" sId="1">
    <nc r="B73">
      <v>3899</v>
    </nc>
  </rcc>
</revisions>
</file>

<file path=xl/revisions/revisionLog25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092" sId="1" numFmtId="26">
    <nc r="A74">
      <v>0.7963541666666667</v>
    </nc>
  </rcc>
  <rcc rId="1093" sId="1">
    <nc r="B74">
      <v>3858</v>
    </nc>
  </rcc>
</revisions>
</file>

<file path=xl/revisions/revisionLog25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094" sId="1" numFmtId="26">
    <nc r="A75">
      <v>0.79660879629629633</v>
    </nc>
  </rcc>
  <rcc rId="1095" sId="1">
    <nc r="B75">
      <v>3810</v>
    </nc>
  </rcc>
</revisions>
</file>

<file path=xl/revisions/revisionLog25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096" sId="1" numFmtId="26">
    <nc r="A76">
      <v>0.79673611111111109</v>
    </nc>
  </rcc>
  <rcc rId="1097" sId="1">
    <nc r="B76">
      <v>3771</v>
    </nc>
  </rcc>
</revisions>
</file>

<file path=xl/revisions/revisionLog25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098" sId="1" numFmtId="26">
    <nc r="A77">
      <v>0.79693287037037042</v>
    </nc>
  </rcc>
  <rcc rId="1099" sId="1">
    <nc r="B77">
      <v>3743</v>
    </nc>
  </rcc>
</revisions>
</file>

<file path=xl/revisions/revisionLog25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100" sId="1" numFmtId="26">
    <nc r="A78">
      <v>0.79719907407407409</v>
    </nc>
  </rcc>
  <rcc rId="1101" sId="1">
    <nc r="B78">
      <v>3716</v>
    </nc>
  </rcc>
</revisions>
</file>

<file path=xl/revisions/revisionLog26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102" sId="1" numFmtId="26">
    <nc r="A79">
      <v>0.79745370370370372</v>
    </nc>
  </rcc>
  <rcc rId="1103" sId="1">
    <nc r="B79">
      <v>3672</v>
    </nc>
  </rcc>
</revisions>
</file>

<file path=xl/revisions/revisionLog26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104" sId="1" numFmtId="26">
    <nc r="A80">
      <v>0.79782407407407396</v>
    </nc>
  </rcc>
  <rcc rId="1105" sId="1">
    <nc r="B80">
      <v>3636</v>
    </nc>
  </rcc>
</revisions>
</file>

<file path=xl/revisions/revisionLog26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106" sId="1" numFmtId="26">
    <nc r="A81">
      <v>0.79807870370370371</v>
    </nc>
  </rcc>
  <rcc rId="1107" sId="1">
    <nc r="B81">
      <v>3600</v>
    </nc>
  </rcc>
</revisions>
</file>

<file path=xl/revisions/revisionLog26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108" sId="1" numFmtId="26">
    <nc r="A82">
      <v>0.79877314814814815</v>
    </nc>
  </rcc>
  <rcc rId="1109" sId="1">
    <nc r="B82">
      <v>3502</v>
    </nc>
  </rcc>
</revisions>
</file>

<file path=xl/revisions/revisionLog26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110" sId="1" numFmtId="26">
    <nc r="A83">
      <v>0.79902777777777778</v>
    </nc>
  </rcc>
  <rcc rId="1111" sId="1">
    <nc r="B83">
      <v>3443</v>
    </nc>
  </rcc>
</revisions>
</file>

<file path=xl/revisions/revisionLog26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112" sId="1" numFmtId="26">
    <nc r="A84">
      <v>0.79940972222222229</v>
    </nc>
  </rcc>
  <rcc rId="1113" sId="1">
    <nc r="B84">
      <v>3406</v>
    </nc>
  </rcc>
</revisions>
</file>

<file path=xl/revisions/revisionLog26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114" sId="1" numFmtId="26">
    <nc r="A85">
      <v>0.79959490740740735</v>
    </nc>
  </rcc>
  <rcc rId="1115" sId="1">
    <nc r="B85">
      <v>3377</v>
    </nc>
  </rcc>
</revisions>
</file>

<file path=xl/revisions/revisionLog26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116" sId="1" numFmtId="26">
    <nc r="A86">
      <v>0.79979166666666668</v>
    </nc>
  </rcc>
  <rcc rId="1117" sId="1">
    <nc r="B86">
      <v>3348</v>
    </nc>
  </rcc>
</revisions>
</file>

<file path=xl/revisions/revisionLog26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118" sId="1" numFmtId="26">
    <nc r="A87">
      <v>0.8002893518518519</v>
    </nc>
  </rcc>
  <rcc rId="1119" sId="1">
    <nc r="B87">
      <v>3280</v>
    </nc>
  </rcc>
</revisions>
</file>

<file path=xl/revisions/revisionLog26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120" sId="1" numFmtId="26">
    <nc r="A88">
      <v>0.80048611111111112</v>
    </nc>
  </rcc>
  <rcc rId="1121" sId="1">
    <nc r="B88">
      <v>3255</v>
    </nc>
  </rcc>
</revisions>
</file>

<file path=xl/revisions/revisionLog27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122" sId="1" numFmtId="26">
    <nc r="A89">
      <v>0.80079861111111106</v>
    </nc>
  </rcc>
  <rcc rId="1123" sId="1">
    <nc r="B89">
      <v>3230</v>
    </nc>
  </rcc>
</revisions>
</file>

<file path=xl/revisions/revisionLog27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124" sId="1" numFmtId="26">
    <nc r="A90">
      <v>0.80112268518518526</v>
    </nc>
  </rcc>
  <rcc rId="1125" sId="1">
    <nc r="B90">
      <v>3165</v>
    </nc>
  </rcc>
</revisions>
</file>

<file path=xl/revisions/revisionLog27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126" sId="1" numFmtId="26">
    <nc r="A91">
      <v>0.80137731481481478</v>
    </nc>
  </rcc>
  <rcc rId="1127" sId="1">
    <nc r="B91">
      <v>3126</v>
    </nc>
  </rcc>
</revisions>
</file>

<file path=xl/revisions/revisionLog27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128" sId="1" numFmtId="26">
    <nc r="A92">
      <v>0.80168981481481483</v>
    </nc>
  </rcc>
  <rcc rId="1129" sId="1">
    <nc r="B92">
      <v>3087</v>
    </nc>
  </rcc>
</revisions>
</file>

<file path=xl/revisions/revisionLog27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130" sId="1" numFmtId="26">
    <nc r="A93">
      <v>0.80182870370370374</v>
    </nc>
  </rcc>
  <rcc rId="1131" sId="1">
    <nc r="B93">
      <v>3053</v>
    </nc>
  </rcc>
</revisions>
</file>

<file path=xl/revisions/revisionLog27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132" sId="1" numFmtId="26">
    <nc r="A94">
      <v>0.80202546296296295</v>
    </nc>
  </rcc>
  <rcc rId="1133" sId="1">
    <nc r="B94">
      <v>3029</v>
    </nc>
  </rcc>
</revisions>
</file>

<file path=xl/revisions/revisionLog27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134" sId="1" numFmtId="26">
    <nc r="A95">
      <v>0.80229166666666663</v>
    </nc>
  </rcc>
  <rcc rId="1135" sId="1">
    <nc r="B95">
      <v>2989</v>
    </nc>
  </rcc>
</revisions>
</file>

<file path=xl/revisions/revisionLog27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136" sId="1" numFmtId="26">
    <nc r="A96">
      <v>0.80284722222222227</v>
    </nc>
  </rcc>
  <rcc rId="1137" sId="1">
    <nc r="B96">
      <v>2931</v>
    </nc>
  </rcc>
</revisions>
</file>

<file path=xl/revisions/revisionLog27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138" sId="1" numFmtId="26">
    <nc r="A97">
      <v>0.80298611111111118</v>
    </nc>
  </rcc>
  <rcc rId="1139" sId="1">
    <nc r="B97">
      <v>2902</v>
    </nc>
  </rcc>
</revisions>
</file>

<file path=xl/revisions/revisionLog27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140" sId="1" numFmtId="26">
    <nc r="A98">
      <v>0.80324074074074081</v>
    </nc>
  </rcc>
  <rcc rId="1141" sId="1">
    <nc r="B98">
      <v>2874</v>
    </nc>
  </rcc>
</revisions>
</file>

<file path=xl/revisions/revisionLog28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142" sId="1" numFmtId="26">
    <nc r="A99">
      <v>0.80356481481481479</v>
    </nc>
  </rcc>
  <rcc rId="1143" sId="1">
    <nc r="B99">
      <v>2836</v>
    </nc>
  </rcc>
</revisions>
</file>

<file path=xl/revisions/revisionLog28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144" sId="1" numFmtId="26">
    <nc r="A100">
      <v>0.80381944444444453</v>
    </nc>
  </rcc>
  <rcc rId="1145" sId="1">
    <nc r="B100">
      <v>2799</v>
    </nc>
  </rcc>
</revisions>
</file>

<file path=xl/revisions/revisionLog28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146" sId="1" numFmtId="26">
    <nc r="A101">
      <v>0.80395833333333344</v>
    </nc>
  </rcc>
  <rcc rId="1147" sId="1">
    <nc r="B101">
      <v>2768</v>
    </nc>
  </rcc>
</revisions>
</file>

<file path=xl/revisions/revisionLog28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148" sId="1" numFmtId="26">
    <nc r="A102">
      <v>0.80452546296296301</v>
    </nc>
  </rcc>
  <rcc rId="1149" sId="1">
    <nc r="B102">
      <v>2703</v>
    </nc>
  </rcc>
</revisions>
</file>

<file path=xl/revisions/revisionLog28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150" sId="1" numFmtId="26">
    <nc r="A103">
      <v>0.80483796296296306</v>
    </nc>
  </rcc>
  <rcc rId="1151" sId="1">
    <nc r="B103">
      <v>2645</v>
    </nc>
  </rcc>
</revisions>
</file>

<file path=xl/revisions/revisionLog28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152" sId="1" numFmtId="26">
    <nc r="A104">
      <v>0.80510416666666673</v>
    </nc>
  </rcc>
  <rcc rId="1153" sId="1">
    <nc r="B104">
      <v>2616</v>
    </nc>
  </rcc>
</revisions>
</file>

<file path=xl/revisions/revisionLog28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154" sId="1" numFmtId="26">
    <nc r="A105">
      <v>0.8052893518518518</v>
    </nc>
  </rcc>
  <rcc rId="1155" sId="1">
    <nc r="B105">
      <v>2575</v>
    </nc>
  </rcc>
</revisions>
</file>

<file path=xl/revisions/revisionLog28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156" sId="1" numFmtId="26">
    <nc r="A106">
      <v>0.80561342592592589</v>
    </nc>
  </rcc>
  <rcc rId="1157" sId="1">
    <nc r="B106">
      <v>2541</v>
    </nc>
  </rcc>
</revisions>
</file>

<file path=xl/revisions/revisionLog28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158" sId="1" numFmtId="26">
    <nc r="A107">
      <v>0.8057523148148148</v>
    </nc>
  </rcc>
  <rcc rId="1159" sId="1">
    <nc r="B107">
      <v>2519</v>
    </nc>
  </rcc>
</revisions>
</file>

<file path=xl/revisions/revisionLog28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160" sId="1" numFmtId="26">
    <nc r="A108">
      <v>0.80600694444444443</v>
    </nc>
  </rcc>
  <rcc rId="1161" sId="1">
    <nc r="B108">
      <v>2490</v>
    </nc>
  </rcc>
</revisions>
</file>

<file path=xl/revisions/revisionLog29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162" sId="1" numFmtId="26">
    <nc r="A109">
      <v>0.80631944444444448</v>
    </nc>
  </rcc>
  <rcc rId="1163" sId="1">
    <nc r="B109">
      <v>2448</v>
    </nc>
  </rcc>
</revisions>
</file>

<file path=xl/revisions/revisionLog29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164" sId="1" numFmtId="26">
    <nc r="A110">
      <v>0.806574074074074</v>
    </nc>
  </rcc>
  <rcc rId="1165" sId="1">
    <nc r="B110">
      <v>2416</v>
    </nc>
  </rcc>
</revisions>
</file>

<file path=xl/revisions/revisionLog29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166" sId="1" numFmtId="26">
    <nc r="A111">
      <v>0.80684027777777778</v>
    </nc>
  </rcc>
  <rcc rId="1167" sId="1">
    <nc r="B111">
      <v>2391</v>
    </nc>
  </rcc>
</revisions>
</file>

<file path=xl/revisions/revisionLog29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168" sId="1" numFmtId="26">
    <nc r="A112">
      <v>0.8070949074074073</v>
    </nc>
  </rcc>
  <rcc rId="1169" sId="1">
    <nc r="B112">
      <v>2358</v>
    </nc>
  </rcc>
</revisions>
</file>

<file path=xl/revisions/revisionLog29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170" sId="1" numFmtId="26">
    <nc r="A113">
      <v>0.80722222222222229</v>
    </nc>
  </rcc>
  <rcc rId="1171" sId="1">
    <nc r="B113">
      <v>2330</v>
    </nc>
  </rcc>
</revisions>
</file>

<file path=xl/revisions/revisionLog29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172" sId="1" numFmtId="26">
    <nc r="A114">
      <v>0.80743055555555554</v>
    </nc>
  </rcc>
  <rcc rId="1173" sId="1">
    <nc r="B114">
      <v>2301</v>
    </nc>
  </rcc>
</revisions>
</file>

<file path=xl/revisions/revisionLog29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174" sId="1" numFmtId="26">
    <nc r="A115">
      <v>0.80768518518518517</v>
    </nc>
  </rcc>
  <rcc rId="1175" sId="1">
    <nc r="B115">
      <v>2274</v>
    </nc>
  </rcc>
</revisions>
</file>

<file path=xl/revisions/revisionLog29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176" sId="1" numFmtId="26">
    <nc r="A116">
      <v>0.80793981481481481</v>
    </nc>
  </rcc>
  <rcc rId="1177" sId="1">
    <nc r="B116">
      <v>2237</v>
    </nc>
  </rcc>
</revisions>
</file>

<file path=xl/revisions/revisionLog29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178" sId="1" numFmtId="26">
    <nc r="A117">
      <v>0.80807870370370372</v>
    </nc>
  </rcc>
  <rcc rId="1179" sId="1">
    <nc r="B117">
      <v>911566</v>
    </nc>
  </rcc>
</revisions>
</file>

<file path=xl/revisions/revisionLog29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180" sId="1" numFmtId="26">
    <nc r="A118">
      <v>0.80828703703703697</v>
    </nc>
  </rcc>
  <rcc rId="1181" sId="1">
    <nc r="B118">
      <v>911556</v>
    </nc>
  </rcc>
</revisions>
</file>

<file path=xl/revisions/revisionLog30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182" sId="1" numFmtId="26">
    <nc r="A119">
      <v>0.80855324074074064</v>
    </nc>
  </rcc>
  <rcc rId="1183" sId="1">
    <nc r="B119">
      <v>911542</v>
    </nc>
  </rcc>
</revisions>
</file>

<file path=xl/revisions/revisionLog30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184" sId="1" numFmtId="26">
    <nc r="A120">
      <v>0.80880787037037039</v>
    </nc>
  </rcc>
  <rcc rId="1185" sId="1">
    <nc r="B120">
      <v>2114</v>
    </nc>
  </rcc>
</revisions>
</file>

<file path=xl/revisions/revisionLog30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186" sId="1" numFmtId="26">
    <nc r="A121">
      <v>0.80917824074074074</v>
    </nc>
  </rcc>
  <rcc rId="1187" sId="1">
    <nc r="B121">
      <v>2082</v>
    </nc>
  </rcc>
</revisions>
</file>

<file path=xl/revisions/revisionLog30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rc rId="1188" sId="1" ref="A12:XFD12" action="deleteRow">
    <rfmt sheetId="1" xfDxf="1" sqref="A12:XFD12" start="0" length="0"/>
    <rcc rId="0" sId="1" dxf="1" numFmtId="25">
      <nc r="A12">
        <v>0.77916666666666667</v>
      </nc>
      <ndxf>
        <numFmt numFmtId="25" formatCode="hh:mm"/>
        <alignment horizontal="center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12">
        <v>913244</v>
      </nc>
      <ndxf>
        <alignment horizontal="center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C12" start="0" length="0">
      <dxf>
        <numFmt numFmtId="1" formatCode="0"/>
        <alignment horizontal="center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D12" start="0" length="0">
      <dxf>
        <numFmt numFmtId="164" formatCode="#\ &quot;min&quot;"/>
        <alignment horizontal="center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</revisions>
</file>

<file path=xl/revisions/revisionLog30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189" sId="1" numFmtId="26">
    <nc r="A122">
      <v>0.80950231481481483</v>
    </nc>
  </rcc>
  <rcc rId="1190" sId="1">
    <nc r="B122">
      <v>2008</v>
    </nc>
  </rcc>
</revisions>
</file>

<file path=xl/revisions/revisionLog30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191" sId="1" numFmtId="26">
    <nc r="A123">
      <v>0.80978009259259265</v>
    </nc>
  </rcc>
  <rcc rId="1192" sId="1">
    <nc r="B123">
      <v>1978</v>
    </nc>
  </rcc>
</revisions>
</file>

<file path=xl/revisions/revisionLog30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193" sId="1" numFmtId="26">
    <nc r="A124">
      <v>0.80993055555555549</v>
    </nc>
  </rcc>
  <rcc rId="1194" sId="1">
    <nc r="B124">
      <v>1955</v>
    </nc>
  </rcc>
</revisions>
</file>

<file path=xl/revisions/revisionLog30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195" sId="1" numFmtId="26">
    <nc r="A125">
      <v>0.81013888888888896</v>
    </nc>
  </rcc>
  <rcc rId="1196" sId="1">
    <nc r="B125">
      <v>1921</v>
    </nc>
  </rcc>
</revisions>
</file>

<file path=xl/revisions/revisionLog30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197" sId="1" numFmtId="26">
    <nc r="A126">
      <v>0.81040509259259252</v>
    </nc>
  </rcc>
  <rcc rId="1198" sId="1">
    <nc r="B126">
      <v>1886</v>
    </nc>
  </rcc>
</revisions>
</file>

<file path=xl/revisions/revisionLog30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199" sId="1" numFmtId="26">
    <nc r="A127">
      <v>0.81068287037037035</v>
    </nc>
  </rcc>
  <rcc rId="1200" sId="1">
    <nc r="B127">
      <v>1861</v>
    </nc>
  </rcc>
</revisions>
</file>

<file path=xl/revisions/revisionLog31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201" sId="1" numFmtId="26">
    <nc r="A128">
      <v>0.81100694444444443</v>
    </nc>
  </rcc>
  <rcc rId="1202" sId="1">
    <nc r="B128">
      <v>1835</v>
    </nc>
  </rcc>
</revisions>
</file>

<file path=xl/revisions/revisionLog31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203" sId="1" numFmtId="26">
    <nc r="A129">
      <v>0.81126157407407407</v>
    </nc>
  </rcc>
  <rcc rId="1204" sId="1">
    <nc r="B129">
      <v>1800</v>
    </nc>
  </rcc>
</revisions>
</file>

<file path=xl/revisions/revisionLog31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205" sId="1" numFmtId="26">
    <nc r="A130">
      <v>0.81141203703703713</v>
    </nc>
  </rcc>
  <rcc rId="1206" sId="1">
    <nc r="B130">
      <v>1766</v>
    </nc>
  </rcc>
</revisions>
</file>

<file path=xl/revisions/revisionLog31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207" sId="1" numFmtId="26">
    <nc r="A131">
      <v>0.8117361111111111</v>
    </nc>
  </rcc>
  <rcc rId="1208" sId="1">
    <nc r="B131">
      <v>1721</v>
    </nc>
  </rcc>
</revisions>
</file>

<file path=xl/revisions/revisionLog31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209" sId="1" numFmtId="26">
    <nc r="A132">
      <v>0.81187500000000001</v>
    </nc>
  </rcc>
  <rcc rId="1210" sId="1">
    <nc r="B132">
      <v>911375</v>
    </nc>
  </rcc>
</revisions>
</file>

<file path=xl/revisions/revisionLog31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211" sId="1" numFmtId="26">
    <nc r="A133">
      <v>0.81214120370370368</v>
    </nc>
  </rcc>
  <rcc rId="1212" sId="1">
    <nc r="B133">
      <v>1654</v>
    </nc>
  </rcc>
</revisions>
</file>

<file path=xl/revisions/revisionLog31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213" sId="1" numFmtId="26">
    <nc r="A134">
      <v>0.81240740740740736</v>
    </nc>
  </rcc>
  <rcc rId="1214" sId="1">
    <nc r="B134">
      <v>1622</v>
    </nc>
  </rcc>
</revisions>
</file>

<file path=xl/revisions/revisionLog31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215" sId="1" numFmtId="26">
    <nc r="A135">
      <v>0.81260416666666668</v>
    </nc>
  </rcc>
  <rcc rId="1216" sId="1">
    <nc r="B135">
      <v>1582</v>
    </nc>
  </rcc>
</revisions>
</file>

<file path=xl/revisions/revisionLog31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217" sId="1" odxf="1" dxf="1" numFmtId="26">
    <nc r="A136">
      <v>0.81292824074074066</v>
    </nc>
    <odxf>
      <numFmt numFmtId="0" formatCode="General"/>
    </odxf>
    <ndxf>
      <numFmt numFmtId="26" formatCode="hh:mm:ss"/>
    </ndxf>
  </rcc>
  <rcc rId="1218" sId="1">
    <nc r="B136">
      <v>1507</v>
    </nc>
  </rcc>
</revisions>
</file>

<file path=xl/revisions/revisionLog31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219" sId="1" odxf="1" dxf="1" numFmtId="26">
    <nc r="A137">
      <v>0.8131828703703704</v>
    </nc>
    <odxf>
      <numFmt numFmtId="0" formatCode="General"/>
    </odxf>
    <ndxf>
      <numFmt numFmtId="26" formatCode="hh:mm:ss"/>
    </ndxf>
  </rcc>
  <rcc rId="1220" sId="1">
    <nc r="B137">
      <v>1476</v>
    </nc>
  </rcc>
</revisions>
</file>

<file path=xl/revisions/revisionLog32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221" sId="1" odxf="1" dxf="1" numFmtId="26">
    <nc r="A138">
      <v>0.81344907407407396</v>
    </nc>
    <odxf>
      <numFmt numFmtId="0" formatCode="General"/>
    </odxf>
    <ndxf>
      <numFmt numFmtId="26" formatCode="hh:mm:ss"/>
    </ndxf>
  </rcc>
  <rcc rId="1222" sId="1">
    <nc r="B138">
      <v>1438</v>
    </nc>
  </rcc>
</revisions>
</file>

<file path=xl/revisions/revisionLog32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223" sId="1" odxf="1" dxf="1" numFmtId="26">
    <nc r="A139">
      <v>0.81365740740740744</v>
    </nc>
    <odxf>
      <numFmt numFmtId="0" formatCode="General"/>
    </odxf>
    <ndxf>
      <numFmt numFmtId="26" formatCode="hh:mm:ss"/>
    </ndxf>
  </rcc>
  <rcc rId="1224" sId="1">
    <nc r="B139">
      <v>1410</v>
    </nc>
  </rcc>
</revisions>
</file>

<file path=xl/revisions/revisionLog32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225" sId="1" odxf="1" dxf="1" numFmtId="26">
    <nc r="A140">
      <v>0.81398148148148142</v>
    </nc>
    <odxf>
      <numFmt numFmtId="0" formatCode="General"/>
    </odxf>
    <ndxf>
      <numFmt numFmtId="26" formatCode="hh:mm:ss"/>
    </ndxf>
  </rcc>
  <rcc rId="1226" sId="1">
    <nc r="B140">
      <v>1376</v>
    </nc>
  </rcc>
</revisions>
</file>

<file path=xl/revisions/revisionLog32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227" sId="1" odxf="1" dxf="1" numFmtId="26">
    <nc r="A141">
      <v>0.81412037037037033</v>
    </nc>
    <odxf>
      <numFmt numFmtId="0" formatCode="General"/>
    </odxf>
    <ndxf>
      <numFmt numFmtId="26" formatCode="hh:mm:ss"/>
    </ndxf>
  </rcc>
  <rcc rId="1228" sId="1">
    <nc r="B141">
      <v>1345</v>
    </nc>
  </rcc>
</revisions>
</file>

<file path=xl/revisions/revisionLog32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229" sId="1" odxf="1" dxf="1" numFmtId="26">
    <nc r="A142">
      <v>0.814386574074074</v>
    </nc>
    <odxf>
      <numFmt numFmtId="0" formatCode="General"/>
    </odxf>
    <ndxf>
      <numFmt numFmtId="26" formatCode="hh:mm:ss"/>
    </ndxf>
  </rcc>
  <rcc rId="1230" sId="1">
    <nc r="B142">
      <v>1315</v>
    </nc>
  </rcc>
</revisions>
</file>

<file path=xl/revisions/revisionLog32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231" sId="1" odxf="1" dxf="1" numFmtId="26">
    <nc r="A143">
      <v>0.81465277777777778</v>
    </nc>
    <odxf>
      <numFmt numFmtId="0" formatCode="General"/>
    </odxf>
    <ndxf>
      <numFmt numFmtId="26" formatCode="hh:mm:ss"/>
    </ndxf>
  </rcc>
  <rcc rId="1232" sId="1">
    <nc r="B143">
      <v>1288</v>
    </nc>
  </rcc>
</revisions>
</file>

<file path=xl/revisions/revisionLog32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233" sId="1" odxf="1" dxf="1" numFmtId="26">
    <nc r="A144">
      <v>0.81484953703703711</v>
    </nc>
    <odxf>
      <numFmt numFmtId="0" formatCode="General"/>
    </odxf>
    <ndxf>
      <numFmt numFmtId="26" formatCode="hh:mm:ss"/>
    </ndxf>
  </rcc>
  <rcc rId="1234" sId="1">
    <nc r="B144">
      <v>1251</v>
    </nc>
  </rcc>
</revisions>
</file>

<file path=xl/revisions/revisionLog32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235" sId="1" odxf="1" dxf="1" numFmtId="26">
    <nc r="A145">
      <v>0.81517361111111108</v>
    </nc>
    <odxf>
      <numFmt numFmtId="0" formatCode="General"/>
    </odxf>
    <ndxf>
      <numFmt numFmtId="26" formatCode="hh:mm:ss"/>
    </ndxf>
  </rcc>
  <rcc rId="1236" sId="1">
    <nc r="B145">
      <v>1218</v>
    </nc>
  </rcc>
</revisions>
</file>

<file path=xl/revisions/revisionLog32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237" sId="1" odxf="1" dxf="1" numFmtId="26">
    <nc r="A146">
      <v>0.81549768518518517</v>
    </nc>
    <odxf>
      <numFmt numFmtId="0" formatCode="General"/>
    </odxf>
    <ndxf>
      <numFmt numFmtId="26" formatCode="hh:mm:ss"/>
    </ndxf>
  </rcc>
  <rcc rId="1238" sId="1">
    <nc r="B146">
      <v>1140</v>
    </nc>
  </rcc>
</revisions>
</file>

<file path=xl/revisions/revisionLog32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239" sId="1" odxf="1" dxf="1" numFmtId="26">
    <nc r="A147">
      <v>0.81748842592592597</v>
    </nc>
    <odxf>
      <numFmt numFmtId="0" formatCode="General"/>
    </odxf>
    <ndxf>
      <numFmt numFmtId="26" formatCode="hh:mm:ss"/>
    </ndxf>
  </rcc>
  <rcc rId="1240" sId="1">
    <nc r="B147">
      <v>866</v>
    </nc>
  </rcc>
</revisions>
</file>

<file path=xl/revisions/revisionLog33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241" sId="1" odxf="1" dxf="1" numFmtId="26">
    <nc r="A148">
      <v>0.81765046296296295</v>
    </nc>
    <odxf>
      <numFmt numFmtId="0" formatCode="General"/>
    </odxf>
    <ndxf>
      <numFmt numFmtId="26" formatCode="hh:mm:ss"/>
    </ndxf>
  </rcc>
  <rcc rId="1242" sId="1">
    <nc r="B148">
      <v>837</v>
    </nc>
  </rcc>
</revisions>
</file>

<file path=xl/revisions/revisionLog33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243" sId="1" odxf="1" dxf="1" numFmtId="26">
    <nc r="A149">
      <v>0.81781250000000005</v>
    </nc>
    <odxf>
      <numFmt numFmtId="0" formatCode="General"/>
    </odxf>
    <ndxf>
      <numFmt numFmtId="26" formatCode="hh:mm:ss"/>
    </ndxf>
  </rcc>
  <rcc rId="1244" sId="1">
    <nc r="B149">
      <v>810</v>
    </nc>
  </rcc>
</revisions>
</file>

<file path=xl/revisions/revisionLog33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245" sId="1" odxf="1" dxf="1" numFmtId="26">
    <nc r="A150">
      <v>0.81807870370370372</v>
    </nc>
    <odxf>
      <numFmt numFmtId="0" formatCode="General"/>
    </odxf>
    <ndxf>
      <numFmt numFmtId="26" formatCode="hh:mm:ss"/>
    </ndxf>
  </rcc>
  <rcc rId="1246" sId="1">
    <nc r="B150">
      <v>782</v>
    </nc>
  </rcc>
</revisions>
</file>

<file path=xl/revisions/revisionLog33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247" sId="1" odxf="1" dxf="1" numFmtId="26">
    <nc r="A151">
      <v>0.81834490740740751</v>
    </nc>
    <odxf>
      <numFmt numFmtId="0" formatCode="General"/>
    </odxf>
    <ndxf>
      <numFmt numFmtId="26" formatCode="hh:mm:ss"/>
    </ndxf>
  </rcc>
  <rcc rId="1248" sId="1">
    <nc r="B151">
      <v>753</v>
    </nc>
  </rcc>
</revisions>
</file>

<file path=xl/revisions/revisionLog33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249" sId="1" odxf="1" dxf="1" numFmtId="26">
    <nc r="A152">
      <v>0.8184837962962962</v>
    </nc>
    <odxf>
      <numFmt numFmtId="0" formatCode="General"/>
    </odxf>
    <ndxf>
      <numFmt numFmtId="26" formatCode="hh:mm:ss"/>
    </ndxf>
  </rcc>
  <rcc rId="1250" sId="1">
    <nc r="B152">
      <v>723</v>
    </nc>
  </rcc>
</revisions>
</file>

<file path=xl/revisions/revisionLog33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251" sId="1" odxf="1" dxf="1" numFmtId="26">
    <nc r="A153">
      <v>0.8187037037037036</v>
    </nc>
    <odxf>
      <numFmt numFmtId="0" formatCode="General"/>
    </odxf>
    <ndxf>
      <numFmt numFmtId="26" formatCode="hh:mm:ss"/>
    </ndxf>
  </rcc>
  <rcc rId="1252" sId="1">
    <nc r="B153">
      <v>690</v>
    </nc>
  </rcc>
</revisions>
</file>

<file path=xl/revisions/revisionLog33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253" sId="1" odxf="1" dxf="1" numFmtId="26">
    <nc r="A154">
      <v>0.81898148148148142</v>
    </nc>
    <odxf>
      <numFmt numFmtId="0" formatCode="General"/>
    </odxf>
    <ndxf>
      <numFmt numFmtId="26" formatCode="hh:mm:ss"/>
    </ndxf>
  </rcc>
  <rcc rId="1254" sId="1">
    <nc r="B154">
      <v>667</v>
    </nc>
  </rcc>
</revisions>
</file>

<file path=xl/revisions/revisionLog33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255" sId="1" odxf="1" dxf="1" numFmtId="26">
    <nc r="A155">
      <v>0.81925925925925924</v>
    </nc>
    <odxf>
      <numFmt numFmtId="0" formatCode="General"/>
    </odxf>
    <ndxf>
      <numFmt numFmtId="26" formatCode="hh:mm:ss"/>
    </ndxf>
  </rcc>
  <rcc rId="1256" sId="1">
    <nc r="B155">
      <v>624</v>
    </nc>
  </rcc>
</revisions>
</file>

<file path=xl/revisions/revisionLog33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257" sId="1" odxf="1" dxf="1" numFmtId="26">
    <nc r="A156">
      <v>0.81952546296296302</v>
    </nc>
    <odxf>
      <numFmt numFmtId="0" formatCode="General"/>
    </odxf>
    <ndxf>
      <numFmt numFmtId="26" formatCode="hh:mm:ss"/>
    </ndxf>
  </rcc>
  <rcc rId="1258" sId="1">
    <nc r="B156">
      <v>595</v>
    </nc>
  </rcc>
</revisions>
</file>

<file path=xl/revisions/revisionLog33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259" sId="1" odxf="1" dxf="1" numFmtId="26">
    <nc r="A157">
      <v>0.81967592592592586</v>
    </nc>
    <odxf>
      <numFmt numFmtId="0" formatCode="General"/>
    </odxf>
    <ndxf>
      <numFmt numFmtId="26" formatCode="hh:mm:ss"/>
    </ndxf>
  </rcc>
  <rcc rId="1260" sId="1">
    <nc r="B157">
      <v>563</v>
    </nc>
  </rcc>
</revisions>
</file>

<file path=xl/revisions/revisionLog34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261" sId="1" odxf="1" dxf="1" numFmtId="26">
    <nc r="A158">
      <v>0.81988425925925934</v>
    </nc>
    <odxf>
      <numFmt numFmtId="0" formatCode="General"/>
    </odxf>
    <ndxf>
      <numFmt numFmtId="26" formatCode="hh:mm:ss"/>
    </ndxf>
  </rcc>
  <rcc rId="1262" sId="1">
    <nc r="B158">
      <v>530</v>
    </nc>
  </rcc>
</revisions>
</file>

<file path=xl/revisions/revisionLog34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263" sId="1" odxf="1" dxf="1" numFmtId="26">
    <nc r="A159">
      <v>0.82015046296296301</v>
    </nc>
    <odxf>
      <numFmt numFmtId="0" formatCode="General"/>
    </odxf>
    <ndxf>
      <numFmt numFmtId="26" formatCode="hh:mm:ss"/>
    </ndxf>
  </rcc>
  <rcc rId="1264" sId="1">
    <nc r="B159">
      <v>514</v>
    </nc>
  </rcc>
</revisions>
</file>

<file path=xl/revisions/revisionLog34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265" sId="1" odxf="1" dxf="1" numFmtId="26">
    <nc r="A160">
      <v>0.82042824074074072</v>
    </nc>
    <odxf>
      <numFmt numFmtId="0" formatCode="General"/>
    </odxf>
    <ndxf>
      <numFmt numFmtId="26" formatCode="hh:mm:ss"/>
    </ndxf>
  </rcc>
  <rcc rId="1266" sId="1">
    <nc r="B160">
      <v>485</v>
    </nc>
  </rcc>
</revisions>
</file>

<file path=xl/revisions/revisionLog34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267" sId="1" odxf="1" dxf="1" numFmtId="26">
    <nc r="A161">
      <v>0.82075231481481481</v>
    </nc>
    <odxf>
      <numFmt numFmtId="0" formatCode="General"/>
    </odxf>
    <ndxf>
      <numFmt numFmtId="26" formatCode="hh:mm:ss"/>
    </ndxf>
  </rcc>
  <rcc rId="1268" sId="1">
    <nc r="B161">
      <v>460</v>
    </nc>
  </rcc>
</revisions>
</file>

<file path=xl/revisions/revisionLog34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269" sId="1" odxf="1" dxf="1" numFmtId="26">
    <nc r="A162">
      <v>0.82101851851851848</v>
    </nc>
    <odxf>
      <numFmt numFmtId="0" formatCode="General"/>
    </odxf>
    <ndxf>
      <numFmt numFmtId="26" formatCode="hh:mm:ss"/>
    </ndxf>
  </rcc>
  <rcc rId="1270" sId="1">
    <nc r="B162">
      <v>405</v>
    </nc>
  </rcc>
</revisions>
</file>

<file path=xl/revisions/revisionLog34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271" sId="1" odxf="1" dxf="1" numFmtId="26">
    <nc r="A163">
      <v>0.82130787037037034</v>
    </nc>
    <odxf>
      <numFmt numFmtId="0" formatCode="General"/>
    </odxf>
    <ndxf>
      <numFmt numFmtId="26" formatCode="hh:mm:ss"/>
    </ndxf>
  </rcc>
  <rcc rId="1272" sId="1">
    <nc r="B163">
      <v>373</v>
    </nc>
  </rcc>
</revisions>
</file>

<file path=xl/revisions/revisionLog34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273" sId="1" odxf="1" dxf="1">
    <nc r="C3">
      <f>SUM(B2-B3)/(MINUTE(SUM(A3-A2)))</f>
    </nc>
    <ndxf>
      <numFmt numFmtId="25" formatCode="hh:mm"/>
    </ndxf>
  </rcc>
  <rfmt sheetId="1" sqref="C4" start="0" length="0">
    <dxf>
      <numFmt numFmtId="25" formatCode="hh:mm"/>
    </dxf>
  </rfmt>
  <rfmt sheetId="1" sqref="C5" start="0" length="0">
    <dxf>
      <numFmt numFmtId="25" formatCode="hh:mm"/>
    </dxf>
  </rfmt>
  <rfmt sheetId="1" sqref="C6" start="0" length="0">
    <dxf>
      <numFmt numFmtId="25" formatCode="hh:mm"/>
    </dxf>
  </rfmt>
  <rfmt sheetId="1" sqref="C7" start="0" length="0">
    <dxf>
      <numFmt numFmtId="25" formatCode="hh:mm"/>
    </dxf>
  </rfmt>
  <rfmt sheetId="1" sqref="C8" start="0" length="0">
    <dxf>
      <numFmt numFmtId="25" formatCode="hh:mm"/>
    </dxf>
  </rfmt>
  <rfmt sheetId="1" sqref="C9" start="0" length="0">
    <dxf>
      <numFmt numFmtId="25" formatCode="hh:mm"/>
    </dxf>
  </rfmt>
  <rfmt sheetId="1" sqref="C10" start="0" length="0">
    <dxf>
      <numFmt numFmtId="25" formatCode="hh:mm"/>
    </dxf>
  </rfmt>
  <rfmt sheetId="1" sqref="C11" start="0" length="0">
    <dxf>
      <numFmt numFmtId="25" formatCode="hh:mm"/>
    </dxf>
  </rfmt>
  <rfmt sheetId="1" sqref="C12" start="0" length="0">
    <dxf>
      <numFmt numFmtId="25" formatCode="hh:mm"/>
    </dxf>
  </rfmt>
  <rfmt sheetId="1" sqref="C13" start="0" length="0">
    <dxf>
      <numFmt numFmtId="25" formatCode="hh:mm"/>
    </dxf>
  </rfmt>
  <rfmt sheetId="1" sqref="C14" start="0" length="0">
    <dxf>
      <numFmt numFmtId="25" formatCode="hh:mm"/>
    </dxf>
  </rfmt>
  <rfmt sheetId="1" sqref="C15" start="0" length="0">
    <dxf>
      <numFmt numFmtId="25" formatCode="hh:mm"/>
    </dxf>
  </rfmt>
  <rfmt sheetId="1" sqref="C16" start="0" length="0">
    <dxf>
      <numFmt numFmtId="25" formatCode="hh:mm"/>
    </dxf>
  </rfmt>
  <rfmt sheetId="1" sqref="C17" start="0" length="0">
    <dxf>
      <numFmt numFmtId="25" formatCode="hh:mm"/>
    </dxf>
  </rfmt>
  <rfmt sheetId="1" sqref="C18" start="0" length="0">
    <dxf>
      <numFmt numFmtId="25" formatCode="hh:mm"/>
    </dxf>
  </rfmt>
  <rfmt sheetId="1" sqref="C19" start="0" length="0">
    <dxf>
      <numFmt numFmtId="25" formatCode="hh:mm"/>
    </dxf>
  </rfmt>
  <rfmt sheetId="1" sqref="C20" start="0" length="0">
    <dxf>
      <numFmt numFmtId="25" formatCode="hh:mm"/>
    </dxf>
  </rfmt>
  <rfmt sheetId="1" sqref="C21" start="0" length="0">
    <dxf>
      <numFmt numFmtId="25" formatCode="hh:mm"/>
    </dxf>
  </rfmt>
  <rfmt sheetId="1" sqref="C22" start="0" length="0">
    <dxf>
      <numFmt numFmtId="25" formatCode="hh:mm"/>
    </dxf>
  </rfmt>
  <rfmt sheetId="1" sqref="C23" start="0" length="0">
    <dxf>
      <numFmt numFmtId="25" formatCode="hh:mm"/>
    </dxf>
  </rfmt>
  <rfmt sheetId="1" sqref="C24" start="0" length="0">
    <dxf>
      <numFmt numFmtId="25" formatCode="hh:mm"/>
    </dxf>
  </rfmt>
  <rfmt sheetId="1" sqref="C25" start="0" length="0">
    <dxf>
      <numFmt numFmtId="25" formatCode="hh:mm"/>
    </dxf>
  </rfmt>
  <rfmt sheetId="1" sqref="C26" start="0" length="0">
    <dxf>
      <numFmt numFmtId="25" formatCode="hh:mm"/>
    </dxf>
  </rfmt>
  <rfmt sheetId="1" sqref="C27" start="0" length="0">
    <dxf>
      <numFmt numFmtId="25" formatCode="hh:mm"/>
    </dxf>
  </rfmt>
  <rfmt sheetId="1" sqref="C28" start="0" length="0">
    <dxf>
      <numFmt numFmtId="25" formatCode="hh:mm"/>
    </dxf>
  </rfmt>
  <rfmt sheetId="1" sqref="C29" start="0" length="0">
    <dxf>
      <numFmt numFmtId="25" formatCode="hh:mm"/>
    </dxf>
  </rfmt>
  <rfmt sheetId="1" sqref="C30" start="0" length="0">
    <dxf>
      <numFmt numFmtId="25" formatCode="hh:mm"/>
    </dxf>
  </rfmt>
  <rfmt sheetId="1" sqref="C31" start="0" length="0">
    <dxf>
      <numFmt numFmtId="25" formatCode="hh:mm"/>
    </dxf>
  </rfmt>
  <rfmt sheetId="1" sqref="C32" start="0" length="0">
    <dxf>
      <numFmt numFmtId="25" formatCode="hh:mm"/>
    </dxf>
  </rfmt>
  <rfmt sheetId="1" sqref="C33" start="0" length="0">
    <dxf>
      <numFmt numFmtId="25" formatCode="hh:mm"/>
    </dxf>
  </rfmt>
  <rfmt sheetId="1" sqref="C34" start="0" length="0">
    <dxf>
      <numFmt numFmtId="25" formatCode="hh:mm"/>
    </dxf>
  </rfmt>
  <rfmt sheetId="1" sqref="C35" start="0" length="0">
    <dxf>
      <numFmt numFmtId="25" formatCode="hh:mm"/>
    </dxf>
  </rfmt>
  <rfmt sheetId="1" sqref="C36" start="0" length="0">
    <dxf>
      <numFmt numFmtId="25" formatCode="hh:mm"/>
    </dxf>
  </rfmt>
  <rfmt sheetId="1" sqref="C37" start="0" length="0">
    <dxf>
      <numFmt numFmtId="25" formatCode="hh:mm"/>
    </dxf>
  </rfmt>
  <rfmt sheetId="1" sqref="C38" start="0" length="0">
    <dxf>
      <numFmt numFmtId="25" formatCode="hh:mm"/>
    </dxf>
  </rfmt>
  <rfmt sheetId="1" sqref="C39" start="0" length="0">
    <dxf>
      <numFmt numFmtId="25" formatCode="hh:mm"/>
    </dxf>
  </rfmt>
  <rfmt sheetId="1" sqref="C40" start="0" length="0">
    <dxf>
      <numFmt numFmtId="25" formatCode="hh:mm"/>
    </dxf>
  </rfmt>
  <rfmt sheetId="1" sqref="C41" start="0" length="0">
    <dxf>
      <numFmt numFmtId="25" formatCode="hh:mm"/>
    </dxf>
  </rfmt>
  <rfmt sheetId="1" sqref="C42" start="0" length="0">
    <dxf>
      <numFmt numFmtId="25" formatCode="hh:mm"/>
    </dxf>
  </rfmt>
  <rfmt sheetId="1" sqref="C43" start="0" length="0">
    <dxf>
      <numFmt numFmtId="25" formatCode="hh:mm"/>
    </dxf>
  </rfmt>
  <rfmt sheetId="1" sqref="C44" start="0" length="0">
    <dxf>
      <numFmt numFmtId="25" formatCode="hh:mm"/>
    </dxf>
  </rfmt>
  <rcc rId="1274" sId="1" xfDxf="1" dxf="1">
    <nc r="D3">
      <f>SUM(B3/C3)</f>
    </nc>
    <ndxf>
      <numFmt numFmtId="164" formatCode="#\ &quot;min&quot;"/>
      <alignment horizont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rc rId="1275" sId="1" ref="A3:XFD3" action="deleteRow">
    <undo index="5" exp="ref" v="1" dr="A3" r="C4" sId="1"/>
    <undo index="0" exp="ref" v="1" dr="B3" r="C4" sId="1"/>
    <rfmt sheetId="1" xfDxf="1" sqref="A3:XFD3" start="0" length="0"/>
    <rcc rId="0" sId="1" dxf="1" numFmtId="25">
      <nc r="A3">
        <v>0.77644675925925932</v>
      </nc>
      <ndxf>
        <numFmt numFmtId="25" formatCode="hh:mm"/>
        <alignment horizontal="center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3">
        <v>6897</v>
      </nc>
      <ndxf>
        <alignment horizontal="center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C3">
        <f>SUM(B2-B3)/(MINUTE(SUM(A3-A2)))</f>
      </nc>
      <ndxf>
        <numFmt numFmtId="25" formatCode="hh:mm"/>
        <alignment horizontal="center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D3">
        <f>SUM(B3/C3)</f>
      </nc>
      <ndxf>
        <numFmt numFmtId="164" formatCode="#\ &quot;min&quot;"/>
        <alignment horizontal="center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</rrc>
  <rfmt sheetId="1" xfDxf="1" sqref="C3" start="0" length="0">
    <dxf>
      <numFmt numFmtId="25" formatCode="hh:mm"/>
      <alignment horizontal="center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sqref="C3">
    <dxf>
      <numFmt numFmtId="2" formatCode="0.00"/>
    </dxf>
  </rfmt>
  <rfmt sheetId="1" sqref="C3">
    <dxf>
      <numFmt numFmtId="1" formatCode="0"/>
    </dxf>
  </rfmt>
  <rfmt sheetId="1" sqref="C4" start="0" length="0">
    <dxf>
      <numFmt numFmtId="1" formatCode="0"/>
    </dxf>
  </rfmt>
  <rfmt sheetId="1" sqref="C5" start="0" length="0">
    <dxf>
      <numFmt numFmtId="1" formatCode="0"/>
    </dxf>
  </rfmt>
  <rfmt sheetId="1" sqref="C6" start="0" length="0">
    <dxf>
      <numFmt numFmtId="1" formatCode="0"/>
    </dxf>
  </rfmt>
  <rfmt sheetId="1" sqref="C7" start="0" length="0">
    <dxf>
      <numFmt numFmtId="1" formatCode="0"/>
    </dxf>
  </rfmt>
  <rfmt sheetId="1" sqref="C8" start="0" length="0">
    <dxf>
      <numFmt numFmtId="1" formatCode="0"/>
    </dxf>
  </rfmt>
  <rfmt sheetId="1" sqref="C9" start="0" length="0">
    <dxf>
      <numFmt numFmtId="1" formatCode="0"/>
    </dxf>
  </rfmt>
  <rfmt sheetId="1" sqref="C10" start="0" length="0">
    <dxf>
      <numFmt numFmtId="1" formatCode="0"/>
    </dxf>
  </rfmt>
  <rcc rId="1276" sId="1" odxf="1" dxf="1">
    <nc r="C11">
      <f>SUM(B10-B11)/(MINUTE(SUM(A11-A10)))</f>
    </nc>
    <ndxf>
      <numFmt numFmtId="1" formatCode="0"/>
    </ndxf>
  </rcc>
  <rfmt sheetId="1" sqref="C12" start="0" length="0">
    <dxf>
      <numFmt numFmtId="1" formatCode="0"/>
    </dxf>
  </rfmt>
  <rfmt sheetId="1" sqref="C13" start="0" length="0">
    <dxf>
      <numFmt numFmtId="1" formatCode="0"/>
    </dxf>
  </rfmt>
  <rfmt sheetId="1" sqref="C14" start="0" length="0">
    <dxf>
      <numFmt numFmtId="1" formatCode="0"/>
    </dxf>
  </rfmt>
  <rfmt sheetId="1" sqref="C15" start="0" length="0">
    <dxf>
      <numFmt numFmtId="1" formatCode="0"/>
    </dxf>
  </rfmt>
  <rfmt sheetId="1" sqref="C16" start="0" length="0">
    <dxf>
      <numFmt numFmtId="1" formatCode="0"/>
    </dxf>
  </rfmt>
  <rfmt sheetId="1" sqref="C17" start="0" length="0">
    <dxf>
      <numFmt numFmtId="1" formatCode="0"/>
    </dxf>
  </rfmt>
  <rfmt sheetId="1" sqref="C18" start="0" length="0">
    <dxf>
      <numFmt numFmtId="1" formatCode="0"/>
    </dxf>
  </rfmt>
  <rfmt sheetId="1" sqref="C19" start="0" length="0">
    <dxf>
      <numFmt numFmtId="1" formatCode="0"/>
    </dxf>
  </rfmt>
  <rcc rId="1277" sId="1" odxf="1" dxf="1">
    <nc r="C20">
      <f>SUM(B19-B20)/(MINUTE(SUM(A20-A19)))</f>
    </nc>
    <ndxf>
      <numFmt numFmtId="1" formatCode="0"/>
    </ndxf>
  </rcc>
  <rcc rId="1278" sId="1" odxf="1" dxf="1">
    <nc r="C21">
      <f>SUM(B20-B21)/(MINUTE(SUM(A21-A20)))</f>
    </nc>
    <ndxf>
      <numFmt numFmtId="1" formatCode="0"/>
    </ndxf>
  </rcc>
  <rcc rId="1279" sId="1" odxf="1" dxf="1">
    <nc r="C22">
      <f>SUM(B21-B22)/(MINUTE(SUM(A22-A21)))</f>
    </nc>
    <ndxf>
      <numFmt numFmtId="1" formatCode="0"/>
    </ndxf>
  </rcc>
  <rcc rId="1280" sId="1" odxf="1" dxf="1">
    <nc r="C23">
      <f>SUM(B22-B23)/(MINUTE(SUM(A23-A22)))</f>
    </nc>
    <ndxf>
      <numFmt numFmtId="1" formatCode="0"/>
    </ndxf>
  </rcc>
  <rfmt sheetId="1" sqref="C24" start="0" length="0">
    <dxf>
      <numFmt numFmtId="1" formatCode="0"/>
    </dxf>
  </rfmt>
  <rfmt sheetId="1" sqref="C25" start="0" length="0">
    <dxf>
      <numFmt numFmtId="1" formatCode="0"/>
    </dxf>
  </rfmt>
  <rcc rId="1281" sId="1" odxf="1" dxf="1">
    <nc r="C26">
      <f>SUM(B25-B26)/(MINUTE(SUM(A26-A25)))</f>
    </nc>
    <ndxf>
      <numFmt numFmtId="1" formatCode="0"/>
    </ndxf>
  </rcc>
  <rfmt sheetId="1" sqref="C27" start="0" length="0">
    <dxf>
      <numFmt numFmtId="1" formatCode="0"/>
    </dxf>
  </rfmt>
  <rfmt sheetId="1" sqref="C28" start="0" length="0">
    <dxf>
      <numFmt numFmtId="1" formatCode="0"/>
    </dxf>
  </rfmt>
  <rfmt sheetId="1" sqref="C29" start="0" length="0">
    <dxf>
      <numFmt numFmtId="1" formatCode="0"/>
    </dxf>
  </rfmt>
  <rfmt sheetId="1" sqref="C30" start="0" length="0">
    <dxf>
      <numFmt numFmtId="1" formatCode="0"/>
    </dxf>
  </rfmt>
  <rfmt sheetId="1" sqref="C31" start="0" length="0">
    <dxf>
      <numFmt numFmtId="1" formatCode="0"/>
    </dxf>
  </rfmt>
  <rfmt sheetId="1" sqref="C32" start="0" length="0">
    <dxf>
      <numFmt numFmtId="1" formatCode="0"/>
    </dxf>
  </rfmt>
  <rfmt sheetId="1" sqref="C33" start="0" length="0">
    <dxf>
      <numFmt numFmtId="1" formatCode="0"/>
    </dxf>
  </rfmt>
  <rfmt sheetId="1" sqref="C34" start="0" length="0">
    <dxf>
      <numFmt numFmtId="1" formatCode="0"/>
    </dxf>
  </rfmt>
  <rfmt sheetId="1" sqref="C35" start="0" length="0">
    <dxf>
      <numFmt numFmtId="1" formatCode="0"/>
    </dxf>
  </rfmt>
  <rfmt sheetId="1" sqref="C36" start="0" length="0">
    <dxf>
      <numFmt numFmtId="1" formatCode="0"/>
    </dxf>
  </rfmt>
  <rfmt sheetId="1" sqref="C37" start="0" length="0">
    <dxf>
      <numFmt numFmtId="1" formatCode="0"/>
    </dxf>
  </rfmt>
  <rfmt sheetId="1" sqref="C38" start="0" length="0">
    <dxf>
      <numFmt numFmtId="1" formatCode="0"/>
    </dxf>
  </rfmt>
  <rfmt sheetId="1" sqref="C39" start="0" length="0">
    <dxf>
      <numFmt numFmtId="1" formatCode="0"/>
    </dxf>
  </rfmt>
  <rfmt sheetId="1" sqref="C40" start="0" length="0">
    <dxf>
      <numFmt numFmtId="1" formatCode="0"/>
    </dxf>
  </rfmt>
  <rfmt sheetId="1" sqref="C41" start="0" length="0">
    <dxf>
      <numFmt numFmtId="1" formatCode="0"/>
    </dxf>
  </rfmt>
  <rfmt sheetId="1" sqref="C42" start="0" length="0">
    <dxf>
      <numFmt numFmtId="1" formatCode="0"/>
    </dxf>
  </rfmt>
  <rfmt sheetId="1" sqref="C43" start="0" length="0">
    <dxf>
      <numFmt numFmtId="1" formatCode="0"/>
    </dxf>
  </rfmt>
  <rcc rId="1282" sId="1">
    <nc r="C45">
      <f>SUM(B44-B45)/(MINUTE(SUM(A45-A44)))</f>
    </nc>
  </rcc>
  <rcc rId="1283" sId="1">
    <nc r="C46">
      <f>SUM(B45-B46)/(MINUTE(SUM(A46-A45)))</f>
    </nc>
  </rcc>
  <rfmt sheetId="1" sqref="C50" start="0" length="0">
    <dxf>
      <numFmt numFmtId="1" formatCode="0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sqref="C51" start="0" length="0">
    <dxf>
      <numFmt numFmtId="1" formatCode="0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sqref="C52" start="0" length="0">
    <dxf>
      <numFmt numFmtId="1" formatCode="0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sqref="C53" start="0" length="0">
    <dxf>
      <numFmt numFmtId="1" formatCode="0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sqref="C54" start="0" length="0">
    <dxf>
      <numFmt numFmtId="1" formatCode="0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sqref="C55" start="0" length="0">
    <dxf>
      <numFmt numFmtId="1" formatCode="0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sqref="C56" start="0" length="0">
    <dxf>
      <numFmt numFmtId="1" formatCode="0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sqref="C57" start="0" length="0">
    <dxf>
      <numFmt numFmtId="1" formatCode="0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sqref="C58" start="0" length="0">
    <dxf>
      <numFmt numFmtId="1" formatCode="0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sqref="C59" start="0" length="0">
    <dxf>
      <numFmt numFmtId="1" formatCode="0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sqref="C60" start="0" length="0">
    <dxf>
      <numFmt numFmtId="1" formatCode="0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sqref="C61" start="0" length="0">
    <dxf>
      <numFmt numFmtId="1" formatCode="0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sqref="C62" start="0" length="0">
    <dxf>
      <numFmt numFmtId="1" formatCode="0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sqref="C63" start="0" length="0">
    <dxf>
      <numFmt numFmtId="1" formatCode="0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sqref="C64" start="0" length="0">
    <dxf>
      <numFmt numFmtId="1" formatCode="0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sqref="C65" start="0" length="0">
    <dxf>
      <numFmt numFmtId="1" formatCode="0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sqref="C66" start="0" length="0">
    <dxf>
      <numFmt numFmtId="1" formatCode="0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sqref="C67" start="0" length="0">
    <dxf>
      <numFmt numFmtId="1" formatCode="0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sqref="C68" start="0" length="0">
    <dxf>
      <numFmt numFmtId="1" formatCode="0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sqref="C69" start="0" length="0">
    <dxf>
      <numFmt numFmtId="1" formatCode="0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sqref="C70" start="0" length="0">
    <dxf>
      <numFmt numFmtId="1" formatCode="0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sqref="C71" start="0" length="0">
    <dxf>
      <numFmt numFmtId="1" formatCode="0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sqref="C72" start="0" length="0">
    <dxf>
      <numFmt numFmtId="1" formatCode="0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sqref="C73" start="0" length="0">
    <dxf>
      <numFmt numFmtId="1" formatCode="0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sqref="C74" start="0" length="0">
    <dxf>
      <numFmt numFmtId="1" formatCode="0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sqref="C75" start="0" length="0">
    <dxf>
      <numFmt numFmtId="1" formatCode="0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sqref="C76" start="0" length="0">
    <dxf>
      <numFmt numFmtId="1" formatCode="0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sqref="C77" start="0" length="0">
    <dxf>
      <numFmt numFmtId="1" formatCode="0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sqref="C78" start="0" length="0">
    <dxf>
      <numFmt numFmtId="1" formatCode="0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sqref="C79" start="0" length="0">
    <dxf>
      <numFmt numFmtId="1" formatCode="0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sqref="C80" start="0" length="0">
    <dxf>
      <numFmt numFmtId="1" formatCode="0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sqref="C81" start="0" length="0">
    <dxf>
      <numFmt numFmtId="1" formatCode="0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sqref="C82" start="0" length="0">
    <dxf>
      <numFmt numFmtId="1" formatCode="0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sqref="C83" start="0" length="0">
    <dxf>
      <numFmt numFmtId="1" formatCode="0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sqref="C84" start="0" length="0">
    <dxf>
      <numFmt numFmtId="1" formatCode="0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sqref="C85" start="0" length="0">
    <dxf>
      <numFmt numFmtId="1" formatCode="0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sqref="C86" start="0" length="0">
    <dxf>
      <numFmt numFmtId="1" formatCode="0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sqref="C87" start="0" length="0">
    <dxf>
      <numFmt numFmtId="1" formatCode="0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sqref="C88" start="0" length="0">
    <dxf>
      <numFmt numFmtId="1" formatCode="0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sqref="C89" start="0" length="0">
    <dxf>
      <numFmt numFmtId="1" formatCode="0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sqref="C90" start="0" length="0">
    <dxf>
      <numFmt numFmtId="1" formatCode="0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sqref="C91" start="0" length="0">
    <dxf>
      <numFmt numFmtId="1" formatCode="0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sqref="C92" start="0" length="0">
    <dxf>
      <numFmt numFmtId="1" formatCode="0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sqref="C93" start="0" length="0">
    <dxf>
      <numFmt numFmtId="1" formatCode="0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sqref="C94" start="0" length="0">
    <dxf>
      <numFmt numFmtId="1" formatCode="0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sqref="C95" start="0" length="0">
    <dxf>
      <numFmt numFmtId="1" formatCode="0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sqref="C96" start="0" length="0">
    <dxf>
      <numFmt numFmtId="1" formatCode="0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sqref="C97" start="0" length="0">
    <dxf>
      <numFmt numFmtId="1" formatCode="0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sqref="C98" start="0" length="0">
    <dxf>
      <numFmt numFmtId="1" formatCode="0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sqref="C99" start="0" length="0">
    <dxf>
      <numFmt numFmtId="1" formatCode="0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sqref="C100" start="0" length="0">
    <dxf>
      <numFmt numFmtId="1" formatCode="0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sqref="C101" start="0" length="0">
    <dxf>
      <numFmt numFmtId="1" formatCode="0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sqref="C102" start="0" length="0">
    <dxf>
      <numFmt numFmtId="1" formatCode="0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sqref="C103" start="0" length="0">
    <dxf>
      <numFmt numFmtId="1" formatCode="0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sqref="C104" start="0" length="0">
    <dxf>
      <numFmt numFmtId="1" formatCode="0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sqref="C105" start="0" length="0">
    <dxf>
      <numFmt numFmtId="1" formatCode="0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sqref="C106" start="0" length="0">
    <dxf>
      <numFmt numFmtId="1" formatCode="0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sqref="C107" start="0" length="0">
    <dxf>
      <numFmt numFmtId="1" formatCode="0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sqref="C108" start="0" length="0">
    <dxf>
      <numFmt numFmtId="1" formatCode="0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sqref="C109" start="0" length="0">
    <dxf>
      <numFmt numFmtId="1" formatCode="0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sqref="C110" start="0" length="0">
    <dxf>
      <numFmt numFmtId="1" formatCode="0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sqref="C111" start="0" length="0">
    <dxf>
      <numFmt numFmtId="1" formatCode="0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sqref="C112" start="0" length="0">
    <dxf>
      <numFmt numFmtId="1" formatCode="0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sqref="C113" start="0" length="0">
    <dxf>
      <numFmt numFmtId="1" formatCode="0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sqref="C114" start="0" length="0">
    <dxf>
      <numFmt numFmtId="1" formatCode="0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sqref="C115" start="0" length="0">
    <dxf>
      <numFmt numFmtId="1" formatCode="0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sqref="C116" start="0" length="0">
    <dxf>
      <numFmt numFmtId="1" formatCode="0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sqref="C117" start="0" length="0">
    <dxf>
      <numFmt numFmtId="1" formatCode="0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sqref="C118" start="0" length="0">
    <dxf>
      <numFmt numFmtId="1" formatCode="0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sqref="C119" start="0" length="0">
    <dxf>
      <numFmt numFmtId="1" formatCode="0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rc rId="1284" sId="1" ref="A20:XFD20" action="deleteRow">
    <undo index="5" exp="ref" v="1" dr="A20" r="C21" sId="1"/>
    <undo index="0" exp="ref" v="1" dr="B20" r="C21" sId="1"/>
    <rfmt sheetId="1" xfDxf="1" sqref="A20:XFD20" start="0" length="0"/>
    <rcc rId="0" sId="1" dxf="1" numFmtId="25">
      <nc r="A20">
        <v>0.78129629629629627</v>
      </nc>
      <ndxf>
        <numFmt numFmtId="25" formatCode="hh:mm"/>
        <alignment horizontal="center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">
        <v>913112</v>
      </nc>
      <ndxf>
        <alignment horizontal="center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C20">
        <f>SUM(B19-B20)/(MINUTE(SUM(A20-A19)))</f>
      </nc>
      <ndxf>
        <numFmt numFmtId="1" formatCode="0"/>
        <alignment horizontal="center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D20" start="0" length="0">
      <dxf>
        <numFmt numFmtId="164" formatCode="#\ &quot;min&quot;"/>
        <alignment horizontal="center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1285" sId="1" ref="A20:XFD20" action="deleteRow">
    <undo index="5" exp="ref" v="1" dr="A20" r="C21" sId="1"/>
    <undo index="0" exp="ref" v="1" dr="B20" r="C21" sId="1"/>
    <rfmt sheetId="1" xfDxf="1" sqref="A20:XFD20" start="0" length="0"/>
    <rcc rId="0" sId="1" dxf="1" numFmtId="25">
      <nc r="A20">
        <v>0.78143518518518518</v>
      </nc>
      <ndxf>
        <numFmt numFmtId="25" formatCode="hh:mm"/>
        <alignment horizontal="center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">
        <v>913100</v>
      </nc>
      <ndxf>
        <alignment horizontal="center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C20">
        <f>SUM(#REF!-B20)/(MINUTE(SUM(A20-#REF!)))</f>
      </nc>
      <ndxf>
        <numFmt numFmtId="1" formatCode="0"/>
        <alignment horizontal="center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D20" start="0" length="0">
      <dxf>
        <numFmt numFmtId="164" formatCode="#\ &quot;min&quot;"/>
        <alignment horizontal="center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1286" sId="1" ref="A20:XFD20" action="deleteRow">
    <undo index="5" exp="ref" v="1" dr="A20" r="C21" sId="1"/>
    <undo index="0" exp="ref" v="1" dr="B20" r="C21" sId="1"/>
    <rfmt sheetId="1" xfDxf="1" sqref="A20:XFD20" start="0" length="0"/>
    <rcc rId="0" sId="1" dxf="1" numFmtId="25">
      <nc r="A20">
        <v>0.78167824074074066</v>
      </nc>
      <ndxf>
        <numFmt numFmtId="25" formatCode="hh:mm"/>
        <alignment horizontal="center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">
        <v>913095</v>
      </nc>
      <ndxf>
        <alignment horizontal="center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C20">
        <f>SUM(#REF!-B20)/(MINUTE(SUM(A20-#REF!)))</f>
      </nc>
      <ndxf>
        <numFmt numFmtId="1" formatCode="0"/>
        <alignment horizontal="center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D20" start="0" length="0">
      <dxf>
        <numFmt numFmtId="164" formatCode="#\ &quot;min&quot;"/>
        <alignment horizontal="center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1287" sId="1" ref="A20:XFD20" action="deleteRow">
    <undo index="5" exp="ref" v="1" dr="A20" r="C21" sId="1"/>
    <undo index="0" exp="ref" v="1" dr="B20" r="C21" sId="1"/>
    <rfmt sheetId="1" xfDxf="1" sqref="A20:XFD20" start="0" length="0"/>
    <rcc rId="0" sId="1" dxf="1" numFmtId="25">
      <nc r="A20">
        <v>0.7819328703703704</v>
      </nc>
      <ndxf>
        <numFmt numFmtId="25" formatCode="hh:mm"/>
        <alignment horizontal="center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0">
        <v>913079</v>
      </nc>
      <ndxf>
        <alignment horizontal="center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C20">
        <f>SUM(#REF!-B20)/(MINUTE(SUM(A20-#REF!)))</f>
      </nc>
      <ndxf>
        <numFmt numFmtId="1" formatCode="0"/>
        <alignment horizontal="center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D20" start="0" length="0">
      <dxf>
        <numFmt numFmtId="164" formatCode="#\ &quot;min&quot;"/>
        <alignment horizontal="center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1288" sId="1" ref="A22:XFD22" action="deleteRow">
    <undo index="5" exp="ref" v="1" dr="A22" r="C23" sId="1"/>
    <undo index="0" exp="ref" v="1" dr="B22" r="C23" sId="1"/>
    <rfmt sheetId="1" xfDxf="1" sqref="A22:XFD22" start="0" length="0"/>
    <rcc rId="0" sId="1" dxf="1" numFmtId="25">
      <nc r="A22">
        <v>0.78312500000000007</v>
      </nc>
      <ndxf>
        <numFmt numFmtId="25" formatCode="hh:mm"/>
        <alignment horizontal="center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22">
        <v>913004</v>
      </nc>
      <ndxf>
        <alignment horizontal="center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C22">
        <f>SUM(B21-B22)/(MINUTE(SUM(A22-A21)))</f>
      </nc>
      <ndxf>
        <numFmt numFmtId="1" formatCode="0"/>
        <alignment horizontal="center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D22" start="0" length="0">
      <dxf>
        <numFmt numFmtId="164" formatCode="#\ &quot;min&quot;"/>
        <alignment horizontal="center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1289" sId="1" ref="A40:XFD40" action="deleteRow">
    <undo index="5" exp="ref" v="1" dr="A40" r="C41" sId="1"/>
    <undo index="0" exp="ref" v="1" dr="B40" r="C41" sId="1"/>
    <rfmt sheetId="1" xfDxf="1" sqref="A40:XFD40" start="0" length="0"/>
    <rcc rId="0" sId="1" dxf="1" numFmtId="25">
      <nc r="A40">
        <v>0.78832175925925929</v>
      </nc>
      <ndxf>
        <numFmt numFmtId="25" formatCode="hh:mm"/>
        <alignment horizontal="center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40">
        <v>912697</v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C40">
        <f>SUM(B39-B40)/(MINUTE(SUM(A40-A39)))</f>
      </nc>
      <ndxf>
        <numFmt numFmtId="1" formatCode="0"/>
        <alignment horizontal="center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D40" start="0" length="0">
      <dxf>
        <numFmt numFmtId="164" formatCode="#\ &quot;min&quot;"/>
        <alignment horizontal="center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rc rId="1290" sId="1" ref="A40:XFD40" action="deleteRow">
    <undo index="5" exp="ref" v="1" dr="A40" r="C41" sId="1"/>
    <undo index="0" exp="ref" v="1" dr="B40" r="C41" sId="1"/>
    <rfmt sheetId="1" xfDxf="1" sqref="A40:XFD40" start="0" length="0"/>
    <rcc rId="0" sId="1" dxf="1" numFmtId="25">
      <nc r="A40">
        <v>0.78844907407407405</v>
      </nc>
      <ndxf>
        <numFmt numFmtId="25" formatCode="hh:mm"/>
        <alignment horizontal="center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40">
        <v>912678</v>
      </nc>
      <ndxf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C40">
        <f>SUM(#REF!-B40)/(MINUTE(SUM(A40-#REF!)))</f>
      </nc>
      <ndxf>
        <numFmt numFmtId="1" formatCode="0"/>
        <alignment horizontal="center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D40" start="0" length="0">
      <dxf>
        <numFmt numFmtId="164" formatCode="#\ &quot;min&quot;"/>
        <alignment horizontal="center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fmt sheetId="1" sqref="A2">
    <dxf>
      <numFmt numFmtId="168" formatCode="[$-F400]h:mm:ss\ AM/PM"/>
    </dxf>
  </rfmt>
  <rfmt sheetId="1" sqref="A3" start="0" length="0">
    <dxf>
      <numFmt numFmtId="168" formatCode="[$-F400]h:mm:ss\ AM/PM"/>
    </dxf>
  </rfmt>
  <rfmt sheetId="1" sqref="A4" start="0" length="0">
    <dxf>
      <numFmt numFmtId="168" formatCode="[$-F400]h:mm:ss\ AM/PM"/>
    </dxf>
  </rfmt>
  <rfmt sheetId="1" sqref="A5" start="0" length="0">
    <dxf>
      <numFmt numFmtId="168" formatCode="[$-F400]h:mm:ss\ AM/PM"/>
    </dxf>
  </rfmt>
  <rfmt sheetId="1" sqref="A6" start="0" length="0">
    <dxf>
      <numFmt numFmtId="168" formatCode="[$-F400]h:mm:ss\ AM/PM"/>
    </dxf>
  </rfmt>
  <rfmt sheetId="1" sqref="A7" start="0" length="0">
    <dxf>
      <numFmt numFmtId="168" formatCode="[$-F400]h:mm:ss\ AM/PM"/>
    </dxf>
  </rfmt>
  <rfmt sheetId="1" sqref="A8" start="0" length="0">
    <dxf>
      <numFmt numFmtId="168" formatCode="[$-F400]h:mm:ss\ AM/PM"/>
    </dxf>
  </rfmt>
  <rfmt sheetId="1" sqref="A9" start="0" length="0">
    <dxf>
      <numFmt numFmtId="168" formatCode="[$-F400]h:mm:ss\ AM/PM"/>
    </dxf>
  </rfmt>
  <rfmt sheetId="1" sqref="A10" start="0" length="0">
    <dxf>
      <numFmt numFmtId="168" formatCode="[$-F400]h:mm:ss\ AM/PM"/>
    </dxf>
  </rfmt>
  <rfmt sheetId="1" sqref="A11" start="0" length="0">
    <dxf>
      <numFmt numFmtId="168" formatCode="[$-F400]h:mm:ss\ AM/PM"/>
    </dxf>
  </rfmt>
  <rfmt sheetId="1" sqref="A12" start="0" length="0">
    <dxf>
      <numFmt numFmtId="168" formatCode="[$-F400]h:mm:ss\ AM/PM"/>
    </dxf>
  </rfmt>
  <rfmt sheetId="1" sqref="A13" start="0" length="0">
    <dxf>
      <numFmt numFmtId="168" formatCode="[$-F400]h:mm:ss\ AM/PM"/>
    </dxf>
  </rfmt>
  <rfmt sheetId="1" sqref="A14" start="0" length="0">
    <dxf>
      <numFmt numFmtId="168" formatCode="[$-F400]h:mm:ss\ AM/PM"/>
    </dxf>
  </rfmt>
  <rfmt sheetId="1" sqref="A15" start="0" length="0">
    <dxf>
      <numFmt numFmtId="168" formatCode="[$-F400]h:mm:ss\ AM/PM"/>
    </dxf>
  </rfmt>
  <rfmt sheetId="1" sqref="A16" start="0" length="0">
    <dxf>
      <numFmt numFmtId="168" formatCode="[$-F400]h:mm:ss\ AM/PM"/>
    </dxf>
  </rfmt>
  <rfmt sheetId="1" sqref="A17" start="0" length="0">
    <dxf>
      <numFmt numFmtId="168" formatCode="[$-F400]h:mm:ss\ AM/PM"/>
    </dxf>
  </rfmt>
  <rfmt sheetId="1" sqref="A18" start="0" length="0">
    <dxf>
      <numFmt numFmtId="168" formatCode="[$-F400]h:mm:ss\ AM/PM"/>
    </dxf>
  </rfmt>
  <rfmt sheetId="1" sqref="A19" start="0" length="0">
    <dxf>
      <numFmt numFmtId="168" formatCode="[$-F400]h:mm:ss\ AM/PM"/>
    </dxf>
  </rfmt>
  <rfmt sheetId="1" sqref="A20" start="0" length="0">
    <dxf>
      <numFmt numFmtId="168" formatCode="[$-F400]h:mm:ss\ AM/PM"/>
    </dxf>
  </rfmt>
  <rfmt sheetId="1" sqref="A21" start="0" length="0">
    <dxf>
      <numFmt numFmtId="168" formatCode="[$-F400]h:mm:ss\ AM/PM"/>
    </dxf>
  </rfmt>
  <rfmt sheetId="1" sqref="A22" start="0" length="0">
    <dxf>
      <numFmt numFmtId="168" formatCode="[$-F400]h:mm:ss\ AM/PM"/>
    </dxf>
  </rfmt>
  <rfmt sheetId="1" sqref="A23" start="0" length="0">
    <dxf>
      <numFmt numFmtId="168" formatCode="[$-F400]h:mm:ss\ AM/PM"/>
    </dxf>
  </rfmt>
  <rfmt sheetId="1" sqref="A24" start="0" length="0">
    <dxf>
      <numFmt numFmtId="168" formatCode="[$-F400]h:mm:ss\ AM/PM"/>
    </dxf>
  </rfmt>
  <rfmt sheetId="1" sqref="A25" start="0" length="0">
    <dxf>
      <numFmt numFmtId="168" formatCode="[$-F400]h:mm:ss\ AM/PM"/>
    </dxf>
  </rfmt>
  <rfmt sheetId="1" sqref="A26" start="0" length="0">
    <dxf>
      <numFmt numFmtId="168" formatCode="[$-F400]h:mm:ss\ AM/PM"/>
    </dxf>
  </rfmt>
  <rfmt sheetId="1" sqref="A27" start="0" length="0">
    <dxf>
      <numFmt numFmtId="168" formatCode="[$-F400]h:mm:ss\ AM/PM"/>
    </dxf>
  </rfmt>
  <rfmt sheetId="1" sqref="A28" start="0" length="0">
    <dxf>
      <numFmt numFmtId="168" formatCode="[$-F400]h:mm:ss\ AM/PM"/>
    </dxf>
  </rfmt>
  <rfmt sheetId="1" sqref="A29" start="0" length="0">
    <dxf>
      <numFmt numFmtId="168" formatCode="[$-F400]h:mm:ss\ AM/PM"/>
    </dxf>
  </rfmt>
  <rfmt sheetId="1" sqref="A30" start="0" length="0">
    <dxf>
      <numFmt numFmtId="168" formatCode="[$-F400]h:mm:ss\ AM/PM"/>
    </dxf>
  </rfmt>
  <rfmt sheetId="1" sqref="A31" start="0" length="0">
    <dxf>
      <numFmt numFmtId="168" formatCode="[$-F400]h:mm:ss\ AM/PM"/>
    </dxf>
  </rfmt>
  <rfmt sheetId="1" sqref="A32" start="0" length="0">
    <dxf>
      <numFmt numFmtId="168" formatCode="[$-F400]h:mm:ss\ AM/PM"/>
    </dxf>
  </rfmt>
  <rfmt sheetId="1" sqref="A33" start="0" length="0">
    <dxf>
      <numFmt numFmtId="168" formatCode="[$-F400]h:mm:ss\ AM/PM"/>
    </dxf>
  </rfmt>
  <rfmt sheetId="1" sqref="A34" start="0" length="0">
    <dxf>
      <numFmt numFmtId="168" formatCode="[$-F400]h:mm:ss\ AM/PM"/>
    </dxf>
  </rfmt>
  <rfmt sheetId="1" sqref="A35" start="0" length="0">
    <dxf>
      <numFmt numFmtId="168" formatCode="[$-F400]h:mm:ss\ AM/PM"/>
    </dxf>
  </rfmt>
  <rfmt sheetId="1" sqref="A36" start="0" length="0">
    <dxf>
      <numFmt numFmtId="168" formatCode="[$-F400]h:mm:ss\ AM/PM"/>
    </dxf>
  </rfmt>
  <rfmt sheetId="1" sqref="A37" start="0" length="0">
    <dxf>
      <numFmt numFmtId="168" formatCode="[$-F400]h:mm:ss\ AM/PM"/>
    </dxf>
  </rfmt>
  <rfmt sheetId="1" sqref="A38" start="0" length="0">
    <dxf>
      <numFmt numFmtId="168" formatCode="[$-F400]h:mm:ss\ AM/PM"/>
    </dxf>
  </rfmt>
  <rfmt sheetId="1" sqref="A39" start="0" length="0">
    <dxf>
      <numFmt numFmtId="168" formatCode="[$-F400]h:mm:ss\ AM/PM"/>
    </dxf>
  </rfmt>
  <rfmt sheetId="1" sqref="A40" start="0" length="0">
    <dxf>
      <numFmt numFmtId="168" formatCode="[$-F400]h:mm:ss\ AM/PM"/>
    </dxf>
  </rfmt>
  <rfmt sheetId="1" sqref="A41" start="0" length="0">
    <dxf>
      <numFmt numFmtId="168" formatCode="[$-F400]h:mm:ss\ AM/PM"/>
    </dxf>
  </rfmt>
  <rfmt sheetId="1" sqref="A42" start="0" length="0">
    <dxf>
      <numFmt numFmtId="168" formatCode="[$-F400]h:mm:ss\ AM/PM"/>
    </dxf>
  </rfmt>
  <rfmt sheetId="1" sqref="A43" start="0" length="0">
    <dxf>
      <numFmt numFmtId="168" formatCode="[$-F400]h:mm:ss\ AM/PM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sqref="A44" start="0" length="0">
    <dxf>
      <numFmt numFmtId="168" formatCode="[$-F400]h:mm:ss\ AM/PM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sqref="A45" start="0" length="0">
    <dxf>
      <numFmt numFmtId="168" formatCode="[$-F400]h:mm:ss\ AM/PM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sqref="A46" start="0" length="0">
    <dxf>
      <numFmt numFmtId="168" formatCode="[$-F400]h:mm:ss\ AM/PM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sqref="A47" start="0" length="0">
    <dxf>
      <numFmt numFmtId="168" formatCode="[$-F400]h:mm:ss\ AM/PM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sqref="A48" start="0" length="0">
    <dxf>
      <numFmt numFmtId="168" formatCode="[$-F400]h:mm:ss\ AM/PM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sqref="A49" start="0" length="0">
    <dxf>
      <numFmt numFmtId="168" formatCode="[$-F400]h:mm:ss\ AM/PM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sqref="A50" start="0" length="0">
    <dxf>
      <numFmt numFmtId="168" formatCode="[$-F400]h:mm:ss\ AM/PM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sqref="A51" start="0" length="0">
    <dxf>
      <numFmt numFmtId="168" formatCode="[$-F400]h:mm:ss\ AM/PM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sqref="A52" start="0" length="0">
    <dxf>
      <numFmt numFmtId="168" formatCode="[$-F400]h:mm:ss\ AM/PM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sqref="A53" start="0" length="0">
    <dxf>
      <numFmt numFmtId="168" formatCode="[$-F400]h:mm:ss\ AM/PM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sqref="A54" start="0" length="0">
    <dxf>
      <numFmt numFmtId="168" formatCode="[$-F400]h:mm:ss\ AM/PM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sqref="A55" start="0" length="0">
    <dxf>
      <numFmt numFmtId="168" formatCode="[$-F400]h:mm:ss\ AM/PM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sqref="A56" start="0" length="0">
    <dxf>
      <numFmt numFmtId="168" formatCode="[$-F400]h:mm:ss\ AM/PM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sqref="A57" start="0" length="0">
    <dxf>
      <numFmt numFmtId="168" formatCode="[$-F400]h:mm:ss\ AM/PM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sqref="A58" start="0" length="0">
    <dxf>
      <numFmt numFmtId="168" formatCode="[$-F400]h:mm:ss\ AM/PM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sqref="A59" start="0" length="0">
    <dxf>
      <numFmt numFmtId="168" formatCode="[$-F400]h:mm:ss\ AM/PM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sqref="A60" start="0" length="0">
    <dxf>
      <numFmt numFmtId="168" formatCode="[$-F400]h:mm:ss\ AM/PM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sqref="A61" start="0" length="0">
    <dxf>
      <numFmt numFmtId="168" formatCode="[$-F400]h:mm:ss\ AM/PM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sqref="A62" start="0" length="0">
    <dxf>
      <numFmt numFmtId="168" formatCode="[$-F400]h:mm:ss\ AM/PM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sqref="A63" start="0" length="0">
    <dxf>
      <numFmt numFmtId="168" formatCode="[$-F400]h:mm:ss\ AM/PM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sqref="A64" start="0" length="0">
    <dxf>
      <numFmt numFmtId="168" formatCode="[$-F400]h:mm:ss\ AM/PM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sqref="A65" start="0" length="0">
    <dxf>
      <numFmt numFmtId="168" formatCode="[$-F400]h:mm:ss\ AM/PM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sqref="A66" start="0" length="0">
    <dxf>
      <numFmt numFmtId="168" formatCode="[$-F400]h:mm:ss\ AM/PM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sqref="A67" start="0" length="0">
    <dxf>
      <numFmt numFmtId="168" formatCode="[$-F400]h:mm:ss\ AM/PM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sqref="A68" start="0" length="0">
    <dxf>
      <numFmt numFmtId="168" formatCode="[$-F400]h:mm:ss\ AM/PM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sqref="A69" start="0" length="0">
    <dxf>
      <numFmt numFmtId="168" formatCode="[$-F400]h:mm:ss\ AM/PM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sqref="A70" start="0" length="0">
    <dxf>
      <numFmt numFmtId="168" formatCode="[$-F400]h:mm:ss\ AM/PM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sqref="A71" start="0" length="0">
    <dxf>
      <numFmt numFmtId="168" formatCode="[$-F400]h:mm:ss\ AM/PM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sqref="A72" start="0" length="0">
    <dxf>
      <numFmt numFmtId="168" formatCode="[$-F400]h:mm:ss\ AM/PM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sqref="A73" start="0" length="0">
    <dxf>
      <numFmt numFmtId="168" formatCode="[$-F400]h:mm:ss\ AM/PM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sqref="A74" start="0" length="0">
    <dxf>
      <numFmt numFmtId="168" formatCode="[$-F400]h:mm:ss\ AM/PM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sqref="A75" start="0" length="0">
    <dxf>
      <numFmt numFmtId="168" formatCode="[$-F400]h:mm:ss\ AM/PM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sqref="A76" start="0" length="0">
    <dxf>
      <numFmt numFmtId="168" formatCode="[$-F400]h:mm:ss\ AM/PM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sqref="A77" start="0" length="0">
    <dxf>
      <numFmt numFmtId="168" formatCode="[$-F400]h:mm:ss\ AM/PM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sqref="A78" start="0" length="0">
    <dxf>
      <numFmt numFmtId="168" formatCode="[$-F400]h:mm:ss\ AM/PM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sqref="A79" start="0" length="0">
    <dxf>
      <numFmt numFmtId="168" formatCode="[$-F400]h:mm:ss\ AM/PM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sqref="A80" start="0" length="0">
    <dxf>
      <numFmt numFmtId="168" formatCode="[$-F400]h:mm:ss\ AM/PM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sqref="A81" start="0" length="0">
    <dxf>
      <numFmt numFmtId="168" formatCode="[$-F400]h:mm:ss\ AM/PM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sqref="A82" start="0" length="0">
    <dxf>
      <numFmt numFmtId="168" formatCode="[$-F400]h:mm:ss\ AM/PM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sqref="A83" start="0" length="0">
    <dxf>
      <numFmt numFmtId="168" formatCode="[$-F400]h:mm:ss\ AM/PM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sqref="A84" start="0" length="0">
    <dxf>
      <numFmt numFmtId="168" formatCode="[$-F400]h:mm:ss\ AM/PM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sqref="A85" start="0" length="0">
    <dxf>
      <numFmt numFmtId="168" formatCode="[$-F400]h:mm:ss\ AM/PM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sqref="A86" start="0" length="0">
    <dxf>
      <numFmt numFmtId="168" formatCode="[$-F400]h:mm:ss\ AM/PM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sqref="A87" start="0" length="0">
    <dxf>
      <numFmt numFmtId="168" formatCode="[$-F400]h:mm:ss\ AM/PM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sqref="A88" start="0" length="0">
    <dxf>
      <numFmt numFmtId="168" formatCode="[$-F400]h:mm:ss\ AM/PM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sqref="A89" start="0" length="0">
    <dxf>
      <numFmt numFmtId="168" formatCode="[$-F400]h:mm:ss\ AM/PM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sqref="A90" start="0" length="0">
    <dxf>
      <numFmt numFmtId="168" formatCode="[$-F400]h:mm:ss\ AM/PM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sqref="A91" start="0" length="0">
    <dxf>
      <numFmt numFmtId="168" formatCode="[$-F400]h:mm:ss\ AM/PM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sqref="A92" start="0" length="0">
    <dxf>
      <numFmt numFmtId="168" formatCode="[$-F400]h:mm:ss\ AM/PM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sqref="A93" start="0" length="0">
    <dxf>
      <numFmt numFmtId="168" formatCode="[$-F400]h:mm:ss\ AM/PM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sqref="A94" start="0" length="0">
    <dxf>
      <numFmt numFmtId="168" formatCode="[$-F400]h:mm:ss\ AM/PM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sqref="A95" start="0" length="0">
    <dxf>
      <numFmt numFmtId="168" formatCode="[$-F400]h:mm:ss\ AM/PM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sqref="A96" start="0" length="0">
    <dxf>
      <numFmt numFmtId="168" formatCode="[$-F400]h:mm:ss\ AM/PM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sqref="A97" start="0" length="0">
    <dxf>
      <numFmt numFmtId="168" formatCode="[$-F400]h:mm:ss\ AM/PM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sqref="A98" start="0" length="0">
    <dxf>
      <numFmt numFmtId="168" formatCode="[$-F400]h:mm:ss\ AM/PM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sqref="A99" start="0" length="0">
    <dxf>
      <numFmt numFmtId="168" formatCode="[$-F400]h:mm:ss\ AM/PM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sqref="A100" start="0" length="0">
    <dxf>
      <numFmt numFmtId="168" formatCode="[$-F400]h:mm:ss\ AM/PM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sqref="A101" start="0" length="0">
    <dxf>
      <numFmt numFmtId="168" formatCode="[$-F400]h:mm:ss\ AM/PM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sqref="A102" start="0" length="0">
    <dxf>
      <numFmt numFmtId="168" formatCode="[$-F400]h:mm:ss\ AM/PM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sqref="A103" start="0" length="0">
    <dxf>
      <numFmt numFmtId="168" formatCode="[$-F400]h:mm:ss\ AM/PM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sqref="A104" start="0" length="0">
    <dxf>
      <numFmt numFmtId="168" formatCode="[$-F400]h:mm:ss\ AM/PM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sqref="A105" start="0" length="0">
    <dxf>
      <numFmt numFmtId="168" formatCode="[$-F400]h:mm:ss\ AM/PM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sqref="A106" start="0" length="0">
    <dxf>
      <numFmt numFmtId="168" formatCode="[$-F400]h:mm:ss\ AM/PM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sqref="A107" start="0" length="0">
    <dxf>
      <numFmt numFmtId="168" formatCode="[$-F400]h:mm:ss\ AM/PM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sqref="A108" start="0" length="0">
    <dxf>
      <numFmt numFmtId="168" formatCode="[$-F400]h:mm:ss\ AM/PM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sqref="A109" start="0" length="0">
    <dxf>
      <numFmt numFmtId="168" formatCode="[$-F400]h:mm:ss\ AM/PM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sqref="A110" start="0" length="0">
    <dxf>
      <numFmt numFmtId="168" formatCode="[$-F400]h:mm:ss\ AM/PM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sqref="A111" start="0" length="0">
    <dxf>
      <numFmt numFmtId="168" formatCode="[$-F400]h:mm:ss\ AM/PM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sqref="A112" start="0" length="0">
    <dxf>
      <numFmt numFmtId="168" formatCode="[$-F400]h:mm:ss\ AM/PM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1" sqref="C5">
    <dxf>
      <numFmt numFmtId="2" formatCode="0.00"/>
    </dxf>
  </rfmt>
  <rrc rId="1291" sId="1" ref="A11:XFD11" action="deleteRow">
    <undo index="5" exp="ref" v="1" dr="A11" r="C12" sId="1"/>
    <undo index="0" exp="ref" v="1" dr="B11" r="C12" sId="1"/>
    <rfmt sheetId="1" xfDxf="1" sqref="A11:XFD11" start="0" length="0"/>
    <rfmt sheetId="1" sqref="A11" start="0" length="0">
      <dxf>
        <numFmt numFmtId="168" formatCode="[$-F400]h:mm:ss\ AM/PM"/>
        <alignment horizontal="center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1" sqref="B11" start="0" length="0">
      <dxf>
        <alignment horizontal="center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1" dxf="1">
      <nc r="C11">
        <f>SUM(B10-B11)/(MINUTE(SUM(A11-A10)))</f>
      </nc>
      <ndxf>
        <numFmt numFmtId="1" formatCode="0"/>
        <alignment horizontal="center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1" sqref="D11" start="0" length="0">
      <dxf>
        <numFmt numFmtId="164" formatCode="#\ &quot;min&quot;"/>
        <alignment horizontal="center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</rrc>
  <rfmt sheetId="1" sqref="B1:B1048576">
    <dxf>
      <alignment horizontal="general" readingOrder="0"/>
    </dxf>
  </rfmt>
  <rfmt sheetId="1" sqref="B1:B1048576">
    <dxf>
      <alignment horizontal="center" readingOrder="0"/>
    </dxf>
  </rfmt>
  <rfmt sheetId="1" sqref="C5" start="0" length="0">
    <dxf>
      <numFmt numFmtId="1" formatCode="0"/>
    </dxf>
  </rfmt>
  <rcc rId="1292" sId="1">
    <nc r="C3">
      <f>SUM((B2-B3)/((A3-A2)*86400)*60)</f>
    </nc>
  </rcc>
  <rcc rId="1293" sId="1">
    <nc r="C4">
      <f>SUM((B3-B4)/((A4-A3)*86400)*60)</f>
    </nc>
  </rcc>
  <rcc rId="1294" sId="1">
    <nc r="C5">
      <f>SUM((B4-B5)/((A5-A4)*86400)*60)</f>
    </nc>
  </rcc>
  <rcc rId="1295" sId="1">
    <nc r="C6">
      <f>SUM((B5-B6)/((A6-A5)*86400)*60)</f>
    </nc>
  </rcc>
  <rcc rId="1296" sId="1">
    <nc r="C7">
      <f>SUM((B6-B7)/((A7-A6)*86400)*60)</f>
    </nc>
  </rcc>
  <rcc rId="1297" sId="1">
    <nc r="C8">
      <f>SUM((B7-B8)/((A8-A7)*86400)*60)</f>
    </nc>
  </rcc>
  <rcc rId="1298" sId="1">
    <nc r="C9">
      <f>SUM((B8-B9)/((A9-A8)*86400)*60)</f>
    </nc>
  </rcc>
  <rcc rId="1299" sId="1">
    <nc r="C10">
      <f>SUM((B9-B10)/((A10-A9)*86400)*60)</f>
    </nc>
  </rcc>
  <rcc rId="1300" sId="1">
    <nc r="C11">
      <f>SUM((B10-B11)/((A11-A10)*86400)*60)</f>
    </nc>
  </rcc>
  <rcc rId="1301" sId="1">
    <nc r="C12">
      <f>SUM((B11-B12)/((A12-A11)*86400)*60)</f>
    </nc>
  </rcc>
  <rcc rId="1302" sId="1">
    <nc r="C13">
      <f>SUM((B12-B13)/((A13-A12)*86400)*60)</f>
    </nc>
  </rcc>
  <rcc rId="1303" sId="1">
    <nc r="C14">
      <f>SUM((B13-B14)/((A14-A13)*86400)*60)</f>
    </nc>
  </rcc>
  <rcc rId="1304" sId="1">
    <nc r="C15">
      <f>SUM((B14-B15)/((A15-A14)*86400)*60)</f>
    </nc>
  </rcc>
  <rcc rId="1305" sId="1">
    <nc r="C16">
      <f>SUM((B15-B16)/((A16-A15)*86400)*60)</f>
    </nc>
  </rcc>
  <rcc rId="1306" sId="1">
    <nc r="C17">
      <f>SUM((B16-B17)/((A17-A16)*86400)*60)</f>
    </nc>
  </rcc>
  <rcc rId="1307" sId="1">
    <nc r="C18">
      <f>SUM((B17-B18)/((A18-A17)*86400)*60)</f>
    </nc>
  </rcc>
  <rcc rId="1308" sId="1">
    <nc r="C19">
      <f>SUM((B18-B19)/((A19-A18)*86400)*60)</f>
    </nc>
  </rcc>
  <rcc rId="1309" sId="1">
    <nc r="C20">
      <f>SUM((B19-B20)/((A20-A19)*86400)*60)</f>
    </nc>
  </rcc>
  <rcc rId="1310" sId="1">
    <nc r="C21">
      <f>SUM((B20-B21)/((A21-A20)*86400)*60)</f>
    </nc>
  </rcc>
  <rcc rId="1311" sId="1">
    <nc r="C22">
      <f>SUM((B21-B22)/((A22-A21)*86400)*60)</f>
    </nc>
  </rcc>
  <rcc rId="1312" sId="1">
    <nc r="C23">
      <f>SUM((B22-B23)/((A23-A22)*86400)*60)</f>
    </nc>
  </rcc>
  <rcc rId="1313" sId="1">
    <nc r="C24">
      <f>SUM((B23-B24)/((A24-A23)*86400)*60)</f>
    </nc>
  </rcc>
  <rcc rId="1314" sId="1">
    <nc r="C25">
      <f>SUM((B24-B25)/((A25-A24)*86400)*60)</f>
    </nc>
  </rcc>
  <rcc rId="1315" sId="1">
    <nc r="C26">
      <f>SUM((B25-B26)/((A26-A25)*86400)*60)</f>
    </nc>
  </rcc>
  <rcc rId="1316" sId="1">
    <nc r="C27">
      <f>SUM((B26-B27)/((A27-A26)*86400)*60)</f>
    </nc>
  </rcc>
  <rcc rId="1317" sId="1">
    <nc r="C28">
      <f>SUM((B27-B28)/((A28-A27)*86400)*60)</f>
    </nc>
  </rcc>
  <rcc rId="1318" sId="1">
    <nc r="C29">
      <f>SUM((B28-B29)/((A29-A28)*86400)*60)</f>
    </nc>
  </rcc>
  <rcc rId="1319" sId="1">
    <nc r="C30">
      <f>SUM((B29-B30)/((A30-A29)*86400)*60)</f>
    </nc>
  </rcc>
  <rcc rId="1320" sId="1">
    <nc r="C31">
      <f>SUM((B30-B31)/((A31-A30)*86400)*60)</f>
    </nc>
  </rcc>
  <rcc rId="1321" sId="1">
    <nc r="C32">
      <f>SUM((B31-B32)/((A32-A31)*86400)*60)</f>
    </nc>
  </rcc>
  <rcc rId="1322" sId="1">
    <nc r="C33">
      <f>SUM((B32-B33)/((A33-A32)*86400)*60)</f>
    </nc>
  </rcc>
  <rcc rId="1323" sId="1">
    <nc r="C34">
      <f>SUM((B33-B34)/((A34-A33)*86400)*60)</f>
    </nc>
  </rcc>
  <rcc rId="1324" sId="1">
    <nc r="C35">
      <f>SUM((B34-B35)/((A35-A34)*86400)*60)</f>
    </nc>
  </rcc>
  <rcc rId="1325" sId="1">
    <nc r="C36">
      <f>SUM((B35-B36)/((A36-A35)*86400)*60)</f>
    </nc>
  </rcc>
  <rcc rId="1326" sId="1">
    <nc r="C37">
      <f>SUM((B36-B37)/((A37-A36)*86400)*60)</f>
    </nc>
  </rcc>
  <rcc rId="1327" sId="1">
    <nc r="C38">
      <f>SUM((B37-B38)/((A38-A37)*86400)*60)</f>
    </nc>
  </rcc>
  <rcc rId="1328" sId="1">
    <nc r="C39">
      <f>SUM((B38-B39)/((A39-A38)*86400)*60)</f>
    </nc>
  </rcc>
  <rcc rId="1329" sId="1">
    <nc r="C40">
      <f>SUM((B39-B40)/((A40-A39)*86400)*60)</f>
    </nc>
  </rcc>
  <rcc rId="1330" sId="1">
    <nc r="C41">
      <f>SUM((B40-B41)/((A41-A40)*86400)*60)</f>
    </nc>
  </rcc>
  <rcc rId="1331" sId="1">
    <nc r="C42">
      <f>SUM((B41-B42)/((A42-A41)*86400)*60)</f>
    </nc>
  </rcc>
  <rcc rId="1332" sId="1">
    <nc r="C43">
      <f>SUM((B42-B43)/((A43-A42)*86400)*60)</f>
    </nc>
  </rcc>
  <rcc rId="1333" sId="1">
    <nc r="C44">
      <f>SUM((B43-B44)/((A44-A43)*86400)*60)</f>
    </nc>
  </rcc>
  <rcc rId="1334" sId="1">
    <nc r="C45">
      <f>SUM((B44-B45)/((A45-A44)*86400)*60)</f>
    </nc>
  </rcc>
  <rcc rId="1335" sId="1">
    <nc r="C46">
      <f>SUM((B45-B46)/((A46-A45)*86400)*60)</f>
    </nc>
  </rcc>
  <rcc rId="1336" sId="1">
    <nc r="C47">
      <f>SUM((B46-B47)/((A47-A46)*86400)*60)</f>
    </nc>
  </rcc>
  <rcc rId="1337" sId="1">
    <nc r="C48">
      <f>SUM((B47-B48)/((A48-A47)*86400)*60)</f>
    </nc>
  </rcc>
  <rcc rId="1338" sId="1">
    <nc r="C49">
      <f>SUM((B48-B49)/((A49-A48)*86400)*60)</f>
    </nc>
  </rcc>
  <rcc rId="1339" sId="1">
    <nc r="C50">
      <f>SUM((B49-B50)/((A50-A49)*86400)*60)</f>
    </nc>
  </rcc>
  <rcc rId="1340" sId="1">
    <nc r="C51">
      <f>SUM((B50-B51)/((A51-A50)*86400)*60)</f>
    </nc>
  </rcc>
  <rcc rId="1341" sId="1">
    <nc r="C52">
      <f>SUM((B51-B52)/((A52-A51)*86400)*60)</f>
    </nc>
  </rcc>
  <rcc rId="1342" sId="1">
    <nc r="C53">
      <f>SUM((B52-B53)/((A53-A52)*86400)*60)</f>
    </nc>
  </rcc>
  <rcc rId="1343" sId="1">
    <nc r="C54">
      <f>SUM((B53-B54)/((A54-A53)*86400)*60)</f>
    </nc>
  </rcc>
  <rcc rId="1344" sId="1">
    <nc r="C55">
      <f>SUM((B54-B55)/((A55-A54)*86400)*60)</f>
    </nc>
  </rcc>
  <rcc rId="1345" sId="1">
    <nc r="C56">
      <f>SUM((B55-B56)/((A56-A55)*86400)*60)</f>
    </nc>
  </rcc>
  <rcc rId="1346" sId="1">
    <nc r="C57">
      <f>SUM((B56-B57)/((A57-A56)*86400)*60)</f>
    </nc>
  </rcc>
  <rcc rId="1347" sId="1">
    <nc r="C58">
      <f>SUM((B57-B58)/((A58-A57)*86400)*60)</f>
    </nc>
  </rcc>
  <rcc rId="1348" sId="1">
    <nc r="C59">
      <f>SUM((B58-B59)/((A59-A58)*86400)*60)</f>
    </nc>
  </rcc>
  <rcc rId="1349" sId="1">
    <nc r="C60">
      <f>SUM((B59-B60)/((A60-A59)*86400)*60)</f>
    </nc>
  </rcc>
  <rcc rId="1350" sId="1">
    <nc r="C61">
      <f>SUM((B60-B61)/((A61-A60)*86400)*60)</f>
    </nc>
  </rcc>
  <rcc rId="1351" sId="1">
    <nc r="C62">
      <f>SUM((B61-B62)/((A62-A61)*86400)*60)</f>
    </nc>
  </rcc>
  <rcc rId="1352" sId="1">
    <nc r="C63">
      <f>SUM((B62-B63)/((A63-A62)*86400)*60)</f>
    </nc>
  </rcc>
  <rcc rId="1353" sId="1">
    <nc r="C64">
      <f>SUM((B63-B64)/((A64-A63)*86400)*60)</f>
    </nc>
  </rcc>
  <rcc rId="1354" sId="1">
    <nc r="C65">
      <f>SUM((B64-B65)/((A65-A64)*86400)*60)</f>
    </nc>
  </rcc>
  <rcc rId="1355" sId="1">
    <nc r="C66">
      <f>SUM((B65-B66)/((A66-A65)*86400)*60)</f>
    </nc>
  </rcc>
  <rcc rId="1356" sId="1">
    <nc r="C67">
      <f>SUM((B66-B67)/((A67-A66)*86400)*60)</f>
    </nc>
  </rcc>
  <rcc rId="1357" sId="1">
    <nc r="C68">
      <f>SUM((B67-B68)/((A68-A67)*86400)*60)</f>
    </nc>
  </rcc>
  <rcc rId="1358" sId="1">
    <nc r="C69">
      <f>SUM((B68-B69)/((A69-A68)*86400)*60)</f>
    </nc>
  </rcc>
  <rcc rId="1359" sId="1">
    <nc r="C70">
      <f>SUM((B69-B70)/((A70-A69)*86400)*60)</f>
    </nc>
  </rcc>
  <rcc rId="1360" sId="1">
    <nc r="C71">
      <f>SUM((B70-B71)/((A71-A70)*86400)*60)</f>
    </nc>
  </rcc>
  <rcc rId="1361" sId="1">
    <nc r="C72">
      <f>SUM((B71-B72)/((A72-A71)*86400)*60)</f>
    </nc>
  </rcc>
  <rcc rId="1362" sId="1">
    <nc r="C73">
      <f>SUM((B72-B73)/((A73-A72)*86400)*60)</f>
    </nc>
  </rcc>
  <rcc rId="1363" sId="1">
    <nc r="C74">
      <f>SUM((B73-B74)/((A74-A73)*86400)*60)</f>
    </nc>
  </rcc>
  <rcc rId="1364" sId="1">
    <nc r="C75">
      <f>SUM((B74-B75)/((A75-A74)*86400)*60)</f>
    </nc>
  </rcc>
  <rcc rId="1365" sId="1">
    <nc r="C76">
      <f>SUM((B75-B76)/((A76-A75)*86400)*60)</f>
    </nc>
  </rcc>
  <rcc rId="1366" sId="1">
    <nc r="C77">
      <f>SUM((B76-B77)/((A77-A76)*86400)*60)</f>
    </nc>
  </rcc>
  <rcc rId="1367" sId="1">
    <nc r="C78">
      <f>SUM((B77-B78)/((A78-A77)*86400)*60)</f>
    </nc>
  </rcc>
  <rcc rId="1368" sId="1">
    <nc r="C79">
      <f>SUM((B78-B79)/((A79-A78)*86400)*60)</f>
    </nc>
  </rcc>
  <rcc rId="1369" sId="1">
    <nc r="C80">
      <f>SUM((B79-B80)/((A80-A79)*86400)*60)</f>
    </nc>
  </rcc>
  <rcc rId="1370" sId="1">
    <nc r="C81">
      <f>SUM((B80-B81)/((A81-A80)*86400)*60)</f>
    </nc>
  </rcc>
  <rcc rId="1371" sId="1">
    <nc r="C82">
      <f>SUM((B81-B82)/((A82-A81)*86400)*60)</f>
    </nc>
  </rcc>
  <rcc rId="1372" sId="1">
    <nc r="C83">
      <f>SUM((B82-B83)/((A83-A82)*86400)*60)</f>
    </nc>
  </rcc>
  <rcc rId="1373" sId="1">
    <nc r="C84">
      <f>SUM((B83-B84)/((A84-A83)*86400)*60)</f>
    </nc>
  </rcc>
  <rcc rId="1374" sId="1">
    <nc r="C85">
      <f>SUM((B84-B85)/((A85-A84)*86400)*60)</f>
    </nc>
  </rcc>
  <rcc rId="1375" sId="1">
    <nc r="C86">
      <f>SUM((B85-B86)/((A86-A85)*86400)*60)</f>
    </nc>
  </rcc>
  <rcc rId="1376" sId="1">
    <nc r="C87">
      <f>SUM((B86-B87)/((A87-A86)*86400)*60)</f>
    </nc>
  </rcc>
  <rcc rId="1377" sId="1">
    <nc r="C88">
      <f>SUM((B87-B88)/((A88-A87)*86400)*60)</f>
    </nc>
  </rcc>
  <rcc rId="1378" sId="1">
    <nc r="C89">
      <f>SUM((B88-B89)/((A89-A88)*86400)*60)</f>
    </nc>
  </rcc>
  <rcc rId="1379" sId="1">
    <nc r="C90">
      <f>SUM((B89-B90)/((A90-A89)*86400)*60)</f>
    </nc>
  </rcc>
  <rcc rId="1380" sId="1">
    <nc r="C91">
      <f>SUM((B90-B91)/((A91-A90)*86400)*60)</f>
    </nc>
  </rcc>
  <rcc rId="1381" sId="1">
    <nc r="C92">
      <f>SUM((B91-B92)/((A92-A91)*86400)*60)</f>
    </nc>
  </rcc>
  <rcc rId="1382" sId="1">
    <nc r="C93">
      <f>SUM((B92-B93)/((A93-A92)*86400)*60)</f>
    </nc>
  </rcc>
  <rcc rId="1383" sId="1">
    <nc r="C94">
      <f>SUM((B93-B94)/((A94-A93)*86400)*60)</f>
    </nc>
  </rcc>
  <rcc rId="1384" sId="1">
    <nc r="C95">
      <f>SUM((B94-B95)/((A95-A94)*86400)*60)</f>
    </nc>
  </rcc>
  <rcc rId="1385" sId="1">
    <nc r="C96">
      <f>SUM((B95-B96)/((A96-A95)*86400)*60)</f>
    </nc>
  </rcc>
  <rcc rId="1386" sId="1">
    <nc r="C97">
      <f>SUM((B96-B97)/((A97-A96)*86400)*60)</f>
    </nc>
  </rcc>
  <rcc rId="1387" sId="1">
    <nc r="C98">
      <f>SUM((B97-B98)/((A98-A97)*86400)*60)</f>
    </nc>
  </rcc>
  <rcc rId="1388" sId="1">
    <nc r="C99">
      <f>SUM((B98-B99)/((A99-A98)*86400)*60)</f>
    </nc>
  </rcc>
  <rcc rId="1389" sId="1">
    <nc r="C100">
      <f>SUM((B99-B100)/((A100-A99)*86400)*60)</f>
    </nc>
  </rcc>
  <rcc rId="1390" sId="1">
    <nc r="C101">
      <f>SUM((B100-B101)/((A101-A100)*86400)*60)</f>
    </nc>
  </rcc>
  <rcc rId="1391" sId="1">
    <nc r="C102">
      <f>SUM((B101-B102)/((A102-A101)*86400)*60)</f>
    </nc>
  </rcc>
  <rcc rId="1392" sId="1">
    <nc r="C103">
      <f>SUM((B102-B103)/((A103-A102)*86400)*60)</f>
    </nc>
  </rcc>
  <rcc rId="1393" sId="1">
    <nc r="C104">
      <f>SUM((B103-B104)/((A104-A103)*86400)*60)</f>
    </nc>
  </rcc>
  <rcc rId="1394" sId="1">
    <nc r="C105">
      <f>SUM((B104-B105)/((A105-A104)*86400)*60)</f>
    </nc>
  </rcc>
  <rcc rId="1395" sId="1">
    <nc r="C106">
      <f>SUM((B105-B106)/((A106-A105)*86400)*60)</f>
    </nc>
  </rcc>
  <rcc rId="1396" sId="1">
    <nc r="C107">
      <f>SUM((B106-B107)/((A107-A106)*86400)*60)</f>
    </nc>
  </rcc>
  <rcc rId="1397" sId="1">
    <nc r="C108">
      <f>SUM((B107-B108)/((A108-A107)*86400)*60)</f>
    </nc>
  </rcc>
  <rcc rId="1398" sId="1">
    <nc r="C109">
      <f>SUM((B108-B109)/((A109-A108)*86400)*60)</f>
    </nc>
  </rcc>
  <rcc rId="1399" sId="1">
    <nc r="C110">
      <f>SUM((B109-B110)/((A110-A109)*86400)*60)</f>
    </nc>
  </rcc>
  <rcc rId="1400" sId="1">
    <nc r="C111">
      <f>SUM((B110-B111)/((A111-A110)*86400)*60)</f>
    </nc>
  </rcc>
  <rcc rId="1401" sId="1">
    <nc r="D3">
      <f>SUM(B3/C3)</f>
    </nc>
  </rcc>
  <rcc rId="1402" sId="1">
    <nc r="D4">
      <f>SUM(B4/C4)</f>
    </nc>
  </rcc>
  <rcc rId="1403" sId="1">
    <nc r="D5">
      <f>SUM(B5/C5)</f>
    </nc>
  </rcc>
  <rcc rId="1404" sId="1">
    <nc r="D6">
      <f>SUM(B6/C6)</f>
    </nc>
  </rcc>
  <rcc rId="1405" sId="1">
    <nc r="D7">
      <f>SUM(B7/C7)</f>
    </nc>
  </rcc>
  <rcc rId="1406" sId="1">
    <nc r="D8">
      <f>SUM(B8/C8)</f>
    </nc>
  </rcc>
  <rcc rId="1407" sId="1">
    <nc r="D9">
      <f>SUM(B9/C9)</f>
    </nc>
  </rcc>
  <rcc rId="1408" sId="1">
    <nc r="D10">
      <f>SUM(B10/C10)</f>
    </nc>
  </rcc>
  <rcc rId="1409" sId="1">
    <nc r="D11">
      <f>SUM(B11/C11)</f>
    </nc>
  </rcc>
  <rcc rId="1410" sId="1">
    <nc r="D12">
      <f>SUM(B12/C12)</f>
    </nc>
  </rcc>
  <rcc rId="1411" sId="1">
    <nc r="D13">
      <f>SUM(B13/C13)</f>
    </nc>
  </rcc>
  <rcc rId="1412" sId="1">
    <nc r="D14">
      <f>SUM(B14/C14)</f>
    </nc>
  </rcc>
  <rcc rId="1413" sId="1">
    <nc r="D15">
      <f>SUM(B15/C15)</f>
    </nc>
  </rcc>
  <rcc rId="1414" sId="1">
    <nc r="D16">
      <f>SUM(B16/C16)</f>
    </nc>
  </rcc>
  <rcc rId="1415" sId="1">
    <nc r="D17">
      <f>SUM(B17/C17)</f>
    </nc>
  </rcc>
  <rcc rId="1416" sId="1">
    <nc r="D18">
      <f>SUM(B18/C18)</f>
    </nc>
  </rcc>
  <rcc rId="1417" sId="1">
    <nc r="D19">
      <f>SUM(B19/C19)</f>
    </nc>
  </rcc>
  <rcc rId="1418" sId="1">
    <nc r="D20">
      <f>SUM(B20/C20)</f>
    </nc>
  </rcc>
  <rcc rId="1419" sId="1">
    <nc r="D21">
      <f>SUM(B21/C21)</f>
    </nc>
  </rcc>
  <rcc rId="1420" sId="1">
    <nc r="D22">
      <f>SUM(B22/C22)</f>
    </nc>
  </rcc>
  <rcc rId="1421" sId="1">
    <nc r="D23">
      <f>SUM(B23/C23)</f>
    </nc>
  </rcc>
  <rcc rId="1422" sId="1">
    <nc r="D24">
      <f>SUM(B24/C24)</f>
    </nc>
  </rcc>
  <rcc rId="1423" sId="1">
    <nc r="D25">
      <f>SUM(B25/C25)</f>
    </nc>
  </rcc>
  <rcc rId="1424" sId="1">
    <nc r="D26">
      <f>SUM(B26/C26)</f>
    </nc>
  </rcc>
  <rcc rId="1425" sId="1">
    <nc r="D27">
      <f>SUM(B27/C27)</f>
    </nc>
  </rcc>
  <rcc rId="1426" sId="1">
    <nc r="D28">
      <f>SUM(B28/C28)</f>
    </nc>
  </rcc>
  <rcc rId="1427" sId="1">
    <nc r="D29">
      <f>SUM(B29/C29)</f>
    </nc>
  </rcc>
  <rcc rId="1428" sId="1">
    <nc r="D30">
      <f>SUM(B30/C30)</f>
    </nc>
  </rcc>
  <rcc rId="1429" sId="1">
    <nc r="D31">
      <f>SUM(B31/C31)</f>
    </nc>
  </rcc>
  <rcc rId="1430" sId="1">
    <nc r="D32">
      <f>SUM(B32/C32)</f>
    </nc>
  </rcc>
  <rcc rId="1431" sId="1">
    <nc r="D33">
      <f>SUM(B33/C33)</f>
    </nc>
  </rcc>
  <rcc rId="1432" sId="1">
    <nc r="D34">
      <f>SUM(B34/C34)</f>
    </nc>
  </rcc>
  <rcc rId="1433" sId="1">
    <nc r="D35">
      <f>SUM(B35/C35)</f>
    </nc>
  </rcc>
  <rcc rId="1434" sId="1">
    <nc r="D36">
      <f>SUM(B36/C36)</f>
    </nc>
  </rcc>
  <rcc rId="1435" sId="1">
    <nc r="D37">
      <f>SUM(B37/C37)</f>
    </nc>
  </rcc>
  <rcc rId="1436" sId="1">
    <nc r="D38">
      <f>SUM(B38/C38)</f>
    </nc>
  </rcc>
  <rcc rId="1437" sId="1">
    <nc r="D39">
      <f>SUM(B39/C39)</f>
    </nc>
  </rcc>
  <rcc rId="1438" sId="1">
    <nc r="D40">
      <f>SUM(B40/C40)</f>
    </nc>
  </rcc>
  <rcc rId="1439" sId="1">
    <nc r="D41">
      <f>SUM(B41/C41)</f>
    </nc>
  </rcc>
  <rcc rId="1440" sId="1" odxf="1" dxf="1">
    <nc r="D42">
      <f>SUM(B42/C42)</f>
    </nc>
    <odxf>
      <numFmt numFmtId="0" formatCode="General"/>
      <alignment horizontal="general" vertical="bottom" readingOrder="0"/>
      <border outline="0">
        <left/>
        <right/>
        <top/>
        <bottom/>
      </border>
    </odxf>
    <ndxf>
      <numFmt numFmtId="164" formatCode="#\ &quot;min&quot;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441" sId="1" odxf="1" dxf="1">
    <nc r="D43">
      <f>SUM(B43/C43)</f>
    </nc>
    <odxf>
      <numFmt numFmtId="0" formatCode="General"/>
      <alignment horizontal="general" vertical="bottom" readingOrder="0"/>
      <border outline="0">
        <left/>
        <right/>
        <top/>
        <bottom/>
      </border>
    </odxf>
    <ndxf>
      <numFmt numFmtId="164" formatCode="#\ &quot;min&quot;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442" sId="1" odxf="1" dxf="1">
    <nc r="D44">
      <f>SUM(B44/C44)</f>
    </nc>
    <odxf>
      <numFmt numFmtId="0" formatCode="General"/>
      <alignment horizontal="general" vertical="bottom" readingOrder="0"/>
      <border outline="0">
        <left/>
        <right/>
        <top/>
        <bottom/>
      </border>
    </odxf>
    <ndxf>
      <numFmt numFmtId="164" formatCode="#\ &quot;min&quot;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443" sId="1" odxf="1" dxf="1">
    <nc r="D45">
      <f>SUM(B45/C45)</f>
    </nc>
    <odxf>
      <numFmt numFmtId="0" formatCode="General"/>
      <alignment horizontal="general" vertical="bottom" readingOrder="0"/>
      <border outline="0">
        <left/>
        <right/>
        <top/>
        <bottom/>
      </border>
    </odxf>
    <ndxf>
      <numFmt numFmtId="164" formatCode="#\ &quot;min&quot;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444" sId="1" odxf="1" dxf="1">
    <nc r="D46">
      <f>SUM(B46/C46)</f>
    </nc>
    <odxf>
      <numFmt numFmtId="0" formatCode="General"/>
      <alignment horizontal="general" vertical="bottom" readingOrder="0"/>
      <border outline="0">
        <left/>
        <right/>
        <top/>
        <bottom/>
      </border>
    </odxf>
    <ndxf>
      <numFmt numFmtId="164" formatCode="#\ &quot;min&quot;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445" sId="1" odxf="1" dxf="1">
    <nc r="D47">
      <f>SUM(B47/C47)</f>
    </nc>
    <odxf>
      <numFmt numFmtId="0" formatCode="General"/>
      <alignment horizontal="general" vertical="bottom" readingOrder="0"/>
      <border outline="0">
        <left/>
        <right/>
        <top/>
        <bottom/>
      </border>
    </odxf>
    <ndxf>
      <numFmt numFmtId="164" formatCode="#\ &quot;min&quot;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446" sId="1" odxf="1" dxf="1">
    <nc r="D48">
      <f>SUM(B48/C48)</f>
    </nc>
    <odxf>
      <numFmt numFmtId="0" formatCode="General"/>
      <alignment horizontal="general" vertical="bottom" readingOrder="0"/>
      <border outline="0">
        <left/>
        <right/>
        <top/>
        <bottom/>
      </border>
    </odxf>
    <ndxf>
      <numFmt numFmtId="164" formatCode="#\ &quot;min&quot;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447" sId="1" odxf="1" dxf="1">
    <nc r="D49">
      <f>SUM(B49/C49)</f>
    </nc>
    <odxf>
      <numFmt numFmtId="0" formatCode="General"/>
      <alignment horizontal="general" vertical="bottom" readingOrder="0"/>
      <border outline="0">
        <left/>
        <right/>
        <top/>
        <bottom/>
      </border>
    </odxf>
    <ndxf>
      <numFmt numFmtId="164" formatCode="#\ &quot;min&quot;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448" sId="1" odxf="1" dxf="1">
    <nc r="D50">
      <f>SUM(B50/C50)</f>
    </nc>
    <odxf>
      <numFmt numFmtId="0" formatCode="General"/>
      <alignment horizontal="general" vertical="bottom" readingOrder="0"/>
      <border outline="0">
        <left/>
        <right/>
        <top/>
        <bottom/>
      </border>
    </odxf>
    <ndxf>
      <numFmt numFmtId="164" formatCode="#\ &quot;min&quot;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449" sId="1" odxf="1" dxf="1">
    <nc r="D51">
      <f>SUM(B51/C51)</f>
    </nc>
    <odxf>
      <numFmt numFmtId="0" formatCode="General"/>
      <alignment horizontal="general" vertical="bottom" readingOrder="0"/>
      <border outline="0">
        <left/>
        <right/>
        <top/>
        <bottom/>
      </border>
    </odxf>
    <ndxf>
      <numFmt numFmtId="164" formatCode="#\ &quot;min&quot;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450" sId="1" odxf="1" dxf="1">
    <nc r="D52">
      <f>SUM(B52/C52)</f>
    </nc>
    <odxf>
      <numFmt numFmtId="0" formatCode="General"/>
      <alignment horizontal="general" vertical="bottom" readingOrder="0"/>
      <border outline="0">
        <left/>
        <right/>
        <top/>
        <bottom/>
      </border>
    </odxf>
    <ndxf>
      <numFmt numFmtId="164" formatCode="#\ &quot;min&quot;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451" sId="1" odxf="1" dxf="1">
    <nc r="D53">
      <f>SUM(B53/C53)</f>
    </nc>
    <odxf>
      <numFmt numFmtId="0" formatCode="General"/>
      <alignment horizontal="general" vertical="bottom" readingOrder="0"/>
      <border outline="0">
        <left/>
        <right/>
        <top/>
        <bottom/>
      </border>
    </odxf>
    <ndxf>
      <numFmt numFmtId="164" formatCode="#\ &quot;min&quot;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452" sId="1" odxf="1" dxf="1">
    <nc r="D54">
      <f>SUM(B54/C54)</f>
    </nc>
    <odxf>
      <numFmt numFmtId="0" formatCode="General"/>
      <alignment horizontal="general" vertical="bottom" readingOrder="0"/>
      <border outline="0">
        <left/>
        <right/>
        <top/>
        <bottom/>
      </border>
    </odxf>
    <ndxf>
      <numFmt numFmtId="164" formatCode="#\ &quot;min&quot;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453" sId="1" odxf="1" dxf="1">
    <nc r="D55">
      <f>SUM(B55/C55)</f>
    </nc>
    <odxf>
      <numFmt numFmtId="0" formatCode="General"/>
      <alignment horizontal="general" vertical="bottom" readingOrder="0"/>
      <border outline="0">
        <left/>
        <right/>
        <top/>
        <bottom/>
      </border>
    </odxf>
    <ndxf>
      <numFmt numFmtId="164" formatCode="#\ &quot;min&quot;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454" sId="1" odxf="1" dxf="1">
    <nc r="D56">
      <f>SUM(B56/C56)</f>
    </nc>
    <odxf>
      <numFmt numFmtId="0" formatCode="General"/>
      <alignment horizontal="general" vertical="bottom" readingOrder="0"/>
      <border outline="0">
        <left/>
        <right/>
        <top/>
        <bottom/>
      </border>
    </odxf>
    <ndxf>
      <numFmt numFmtId="164" formatCode="#\ &quot;min&quot;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455" sId="1" odxf="1" dxf="1">
    <nc r="D57">
      <f>SUM(B57/C57)</f>
    </nc>
    <odxf>
      <numFmt numFmtId="0" formatCode="General"/>
      <alignment horizontal="general" vertical="bottom" readingOrder="0"/>
      <border outline="0">
        <left/>
        <right/>
        <top/>
        <bottom/>
      </border>
    </odxf>
    <ndxf>
      <numFmt numFmtId="164" formatCode="#\ &quot;min&quot;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456" sId="1" odxf="1" dxf="1">
    <nc r="D58">
      <f>SUM(B58/C58)</f>
    </nc>
    <odxf>
      <numFmt numFmtId="0" formatCode="General"/>
      <alignment horizontal="general" vertical="bottom" readingOrder="0"/>
      <border outline="0">
        <left/>
        <right/>
        <top/>
        <bottom/>
      </border>
    </odxf>
    <ndxf>
      <numFmt numFmtId="164" formatCode="#\ &quot;min&quot;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457" sId="1" odxf="1" dxf="1">
    <nc r="D59">
      <f>SUM(B59/C59)</f>
    </nc>
    <odxf>
      <numFmt numFmtId="0" formatCode="General"/>
      <alignment horizontal="general" vertical="bottom" readingOrder="0"/>
      <border outline="0">
        <left/>
        <right/>
        <top/>
        <bottom/>
      </border>
    </odxf>
    <ndxf>
      <numFmt numFmtId="164" formatCode="#\ &quot;min&quot;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458" sId="1" odxf="1" dxf="1">
    <nc r="D60">
      <f>SUM(B60/C60)</f>
    </nc>
    <odxf>
      <numFmt numFmtId="0" formatCode="General"/>
      <alignment horizontal="general" vertical="bottom" readingOrder="0"/>
      <border outline="0">
        <left/>
        <right/>
        <top/>
        <bottom/>
      </border>
    </odxf>
    <ndxf>
      <numFmt numFmtId="164" formatCode="#\ &quot;min&quot;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459" sId="1" odxf="1" dxf="1">
    <nc r="D61">
      <f>SUM(B61/C61)</f>
    </nc>
    <odxf>
      <numFmt numFmtId="0" formatCode="General"/>
      <alignment horizontal="general" vertical="bottom" readingOrder="0"/>
      <border outline="0">
        <left/>
        <right/>
        <top/>
        <bottom/>
      </border>
    </odxf>
    <ndxf>
      <numFmt numFmtId="164" formatCode="#\ &quot;min&quot;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460" sId="1" odxf="1" dxf="1">
    <nc r="D62">
      <f>SUM(B62/C62)</f>
    </nc>
    <odxf>
      <numFmt numFmtId="0" formatCode="General"/>
      <alignment horizontal="general" vertical="bottom" readingOrder="0"/>
      <border outline="0">
        <left/>
        <right/>
        <top/>
        <bottom/>
      </border>
    </odxf>
    <ndxf>
      <numFmt numFmtId="164" formatCode="#\ &quot;min&quot;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461" sId="1" odxf="1" dxf="1">
    <nc r="D63">
      <f>SUM(B63/C63)</f>
    </nc>
    <odxf>
      <numFmt numFmtId="0" formatCode="General"/>
      <alignment horizontal="general" vertical="bottom" readingOrder="0"/>
      <border outline="0">
        <left/>
        <right/>
        <top/>
        <bottom/>
      </border>
    </odxf>
    <ndxf>
      <numFmt numFmtId="164" formatCode="#\ &quot;min&quot;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462" sId="1" odxf="1" dxf="1">
    <nc r="D64">
      <f>SUM(B64/C64)</f>
    </nc>
    <odxf>
      <numFmt numFmtId="0" formatCode="General"/>
      <alignment horizontal="general" vertical="bottom" readingOrder="0"/>
      <border outline="0">
        <left/>
        <right/>
        <top/>
        <bottom/>
      </border>
    </odxf>
    <ndxf>
      <numFmt numFmtId="164" formatCode="#\ &quot;min&quot;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463" sId="1" odxf="1" dxf="1">
    <nc r="D65">
      <f>SUM(B65/C65)</f>
    </nc>
    <odxf>
      <numFmt numFmtId="0" formatCode="General"/>
      <alignment horizontal="general" vertical="bottom" readingOrder="0"/>
      <border outline="0">
        <left/>
        <right/>
        <top/>
        <bottom/>
      </border>
    </odxf>
    <ndxf>
      <numFmt numFmtId="164" formatCode="#\ &quot;min&quot;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464" sId="1" odxf="1" dxf="1">
    <nc r="D66">
      <f>SUM(B66/C66)</f>
    </nc>
    <odxf>
      <numFmt numFmtId="0" formatCode="General"/>
      <alignment horizontal="general" vertical="bottom" readingOrder="0"/>
      <border outline="0">
        <left/>
        <right/>
        <top/>
        <bottom/>
      </border>
    </odxf>
    <ndxf>
      <numFmt numFmtId="164" formatCode="#\ &quot;min&quot;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465" sId="1" odxf="1" dxf="1">
    <nc r="D67">
      <f>SUM(B67/C67)</f>
    </nc>
    <odxf>
      <numFmt numFmtId="0" formatCode="General"/>
      <alignment horizontal="general" vertical="bottom" readingOrder="0"/>
      <border outline="0">
        <left/>
        <right/>
        <top/>
        <bottom/>
      </border>
    </odxf>
    <ndxf>
      <numFmt numFmtId="164" formatCode="#\ &quot;min&quot;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466" sId="1" odxf="1" dxf="1">
    <nc r="D68">
      <f>SUM(B68/C68)</f>
    </nc>
    <odxf>
      <numFmt numFmtId="0" formatCode="General"/>
      <alignment horizontal="general" vertical="bottom" readingOrder="0"/>
      <border outline="0">
        <left/>
        <right/>
        <top/>
        <bottom/>
      </border>
    </odxf>
    <ndxf>
      <numFmt numFmtId="164" formatCode="#\ &quot;min&quot;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467" sId="1" odxf="1" dxf="1">
    <nc r="D69">
      <f>SUM(B69/C69)</f>
    </nc>
    <odxf>
      <numFmt numFmtId="0" formatCode="General"/>
      <alignment horizontal="general" vertical="bottom" readingOrder="0"/>
      <border outline="0">
        <left/>
        <right/>
        <top/>
        <bottom/>
      </border>
    </odxf>
    <ndxf>
      <numFmt numFmtId="164" formatCode="#\ &quot;min&quot;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468" sId="1" odxf="1" dxf="1">
    <nc r="D70">
      <f>SUM(B70/C70)</f>
    </nc>
    <odxf>
      <numFmt numFmtId="0" formatCode="General"/>
      <alignment horizontal="general" vertical="bottom" readingOrder="0"/>
      <border outline="0">
        <left/>
        <right/>
        <top/>
        <bottom/>
      </border>
    </odxf>
    <ndxf>
      <numFmt numFmtId="164" formatCode="#\ &quot;min&quot;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469" sId="1" odxf="1" dxf="1">
    <nc r="D71">
      <f>SUM(B71/C71)</f>
    </nc>
    <odxf>
      <numFmt numFmtId="0" formatCode="General"/>
      <alignment horizontal="general" vertical="bottom" readingOrder="0"/>
      <border outline="0">
        <left/>
        <right/>
        <top/>
        <bottom/>
      </border>
    </odxf>
    <ndxf>
      <numFmt numFmtId="164" formatCode="#\ &quot;min&quot;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470" sId="1" odxf="1" dxf="1">
    <nc r="D72">
      <f>SUM(B72/C72)</f>
    </nc>
    <odxf>
      <numFmt numFmtId="0" formatCode="General"/>
      <alignment horizontal="general" vertical="bottom" readingOrder="0"/>
      <border outline="0">
        <left/>
        <right/>
        <top/>
        <bottom/>
      </border>
    </odxf>
    <ndxf>
      <numFmt numFmtId="164" formatCode="#\ &quot;min&quot;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471" sId="1" odxf="1" dxf="1">
    <nc r="D73">
      <f>SUM(B73/C73)</f>
    </nc>
    <odxf>
      <numFmt numFmtId="0" formatCode="General"/>
      <alignment horizontal="general" vertical="bottom" readingOrder="0"/>
      <border outline="0">
        <left/>
        <right/>
        <top/>
        <bottom/>
      </border>
    </odxf>
    <ndxf>
      <numFmt numFmtId="164" formatCode="#\ &quot;min&quot;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472" sId="1" odxf="1" dxf="1">
    <nc r="D74">
      <f>SUM(B74/C74)</f>
    </nc>
    <odxf>
      <numFmt numFmtId="0" formatCode="General"/>
      <alignment horizontal="general" vertical="bottom" readingOrder="0"/>
      <border outline="0">
        <left/>
        <right/>
        <top/>
        <bottom/>
      </border>
    </odxf>
    <ndxf>
      <numFmt numFmtId="164" formatCode="#\ &quot;min&quot;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473" sId="1" odxf="1" dxf="1">
    <nc r="D75">
      <f>SUM(B75/C75)</f>
    </nc>
    <odxf>
      <numFmt numFmtId="0" formatCode="General"/>
      <alignment horizontal="general" vertical="bottom" readingOrder="0"/>
      <border outline="0">
        <left/>
        <right/>
        <top/>
        <bottom/>
      </border>
    </odxf>
    <ndxf>
      <numFmt numFmtId="164" formatCode="#\ &quot;min&quot;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474" sId="1" odxf="1" dxf="1">
    <nc r="D76">
      <f>SUM(B76/C76)</f>
    </nc>
    <odxf>
      <numFmt numFmtId="0" formatCode="General"/>
      <alignment horizontal="general" vertical="bottom" readingOrder="0"/>
      <border outline="0">
        <left/>
        <right/>
        <top/>
        <bottom/>
      </border>
    </odxf>
    <ndxf>
      <numFmt numFmtId="164" formatCode="#\ &quot;min&quot;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475" sId="1" odxf="1" dxf="1">
    <nc r="D77">
      <f>SUM(B77/C77)</f>
    </nc>
    <odxf>
      <numFmt numFmtId="0" formatCode="General"/>
      <alignment horizontal="general" vertical="bottom" readingOrder="0"/>
      <border outline="0">
        <left/>
        <right/>
        <top/>
        <bottom/>
      </border>
    </odxf>
    <ndxf>
      <numFmt numFmtId="164" formatCode="#\ &quot;min&quot;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476" sId="1" odxf="1" dxf="1">
    <nc r="D78">
      <f>SUM(B78/C78)</f>
    </nc>
    <odxf>
      <numFmt numFmtId="0" formatCode="General"/>
      <alignment horizontal="general" vertical="bottom" readingOrder="0"/>
      <border outline="0">
        <left/>
        <right/>
        <top/>
        <bottom/>
      </border>
    </odxf>
    <ndxf>
      <numFmt numFmtId="164" formatCode="#\ &quot;min&quot;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477" sId="1" odxf="1" dxf="1">
    <nc r="D79">
      <f>SUM(B79/C79)</f>
    </nc>
    <odxf>
      <numFmt numFmtId="0" formatCode="General"/>
      <alignment horizontal="general" vertical="bottom" readingOrder="0"/>
      <border outline="0">
        <left/>
        <right/>
        <top/>
        <bottom/>
      </border>
    </odxf>
    <ndxf>
      <numFmt numFmtId="164" formatCode="#\ &quot;min&quot;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478" sId="1" odxf="1" dxf="1">
    <nc r="D80">
      <f>SUM(B80/C80)</f>
    </nc>
    <odxf>
      <numFmt numFmtId="0" formatCode="General"/>
      <alignment horizontal="general" vertical="bottom" readingOrder="0"/>
      <border outline="0">
        <left/>
        <right/>
        <top/>
        <bottom/>
      </border>
    </odxf>
    <ndxf>
      <numFmt numFmtId="164" formatCode="#\ &quot;min&quot;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479" sId="1" odxf="1" dxf="1">
    <nc r="D81">
      <f>SUM(B81/C81)</f>
    </nc>
    <odxf>
      <numFmt numFmtId="0" formatCode="General"/>
      <alignment horizontal="general" vertical="bottom" readingOrder="0"/>
      <border outline="0">
        <left/>
        <right/>
        <top/>
        <bottom/>
      </border>
    </odxf>
    <ndxf>
      <numFmt numFmtId="164" formatCode="#\ &quot;min&quot;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480" sId="1" odxf="1" dxf="1">
    <nc r="D82">
      <f>SUM(B82/C82)</f>
    </nc>
    <odxf>
      <numFmt numFmtId="0" formatCode="General"/>
      <alignment horizontal="general" vertical="bottom" readingOrder="0"/>
      <border outline="0">
        <left/>
        <right/>
        <top/>
        <bottom/>
      </border>
    </odxf>
    <ndxf>
      <numFmt numFmtId="164" formatCode="#\ &quot;min&quot;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481" sId="1" odxf="1" dxf="1">
    <nc r="D83">
      <f>SUM(B83/C83)</f>
    </nc>
    <odxf>
      <numFmt numFmtId="0" formatCode="General"/>
      <alignment horizontal="general" vertical="bottom" readingOrder="0"/>
      <border outline="0">
        <left/>
        <right/>
        <top/>
        <bottom/>
      </border>
    </odxf>
    <ndxf>
      <numFmt numFmtId="164" formatCode="#\ &quot;min&quot;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482" sId="1" odxf="1" dxf="1">
    <nc r="D84">
      <f>SUM(B84/C84)</f>
    </nc>
    <odxf>
      <numFmt numFmtId="0" formatCode="General"/>
      <alignment horizontal="general" vertical="bottom" readingOrder="0"/>
      <border outline="0">
        <left/>
        <right/>
        <top/>
        <bottom/>
      </border>
    </odxf>
    <ndxf>
      <numFmt numFmtId="164" formatCode="#\ &quot;min&quot;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483" sId="1" odxf="1" dxf="1">
    <nc r="D85">
      <f>SUM(B85/C85)</f>
    </nc>
    <odxf>
      <numFmt numFmtId="0" formatCode="General"/>
      <alignment horizontal="general" vertical="bottom" readingOrder="0"/>
      <border outline="0">
        <left/>
        <right/>
        <top/>
        <bottom/>
      </border>
    </odxf>
    <ndxf>
      <numFmt numFmtId="164" formatCode="#\ &quot;min&quot;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484" sId="1" odxf="1" dxf="1">
    <nc r="D86">
      <f>SUM(B86/C86)</f>
    </nc>
    <odxf>
      <numFmt numFmtId="0" formatCode="General"/>
      <alignment horizontal="general" vertical="bottom" readingOrder="0"/>
      <border outline="0">
        <left/>
        <right/>
        <top/>
        <bottom/>
      </border>
    </odxf>
    <ndxf>
      <numFmt numFmtId="164" formatCode="#\ &quot;min&quot;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485" sId="1" odxf="1" dxf="1">
    <nc r="D87">
      <f>SUM(B87/C87)</f>
    </nc>
    <odxf>
      <numFmt numFmtId="0" formatCode="General"/>
      <alignment horizontal="general" vertical="bottom" readingOrder="0"/>
      <border outline="0">
        <left/>
        <right/>
        <top/>
        <bottom/>
      </border>
    </odxf>
    <ndxf>
      <numFmt numFmtId="164" formatCode="#\ &quot;min&quot;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486" sId="1" odxf="1" dxf="1">
    <nc r="D88">
      <f>SUM(B88/C88)</f>
    </nc>
    <odxf>
      <numFmt numFmtId="0" formatCode="General"/>
      <alignment horizontal="general" vertical="bottom" readingOrder="0"/>
      <border outline="0">
        <left/>
        <right/>
        <top/>
        <bottom/>
      </border>
    </odxf>
    <ndxf>
      <numFmt numFmtId="164" formatCode="#\ &quot;min&quot;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487" sId="1" odxf="1" dxf="1">
    <nc r="D89">
      <f>SUM(B89/C89)</f>
    </nc>
    <odxf>
      <numFmt numFmtId="0" formatCode="General"/>
      <alignment horizontal="general" vertical="bottom" readingOrder="0"/>
      <border outline="0">
        <left/>
        <right/>
        <top/>
        <bottom/>
      </border>
    </odxf>
    <ndxf>
      <numFmt numFmtId="164" formatCode="#\ &quot;min&quot;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488" sId="1" odxf="1" dxf="1">
    <nc r="D90">
      <f>SUM(B90/C90)</f>
    </nc>
    <odxf>
      <numFmt numFmtId="0" formatCode="General"/>
      <alignment horizontal="general" vertical="bottom" readingOrder="0"/>
      <border outline="0">
        <left/>
        <right/>
        <top/>
        <bottom/>
      </border>
    </odxf>
    <ndxf>
      <numFmt numFmtId="164" formatCode="#\ &quot;min&quot;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489" sId="1" odxf="1" dxf="1">
    <nc r="D91">
      <f>SUM(B91/C91)</f>
    </nc>
    <odxf>
      <numFmt numFmtId="0" formatCode="General"/>
      <alignment horizontal="general" vertical="bottom" readingOrder="0"/>
      <border outline="0">
        <left/>
        <right/>
        <top/>
        <bottom/>
      </border>
    </odxf>
    <ndxf>
      <numFmt numFmtId="164" formatCode="#\ &quot;min&quot;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490" sId="1" odxf="1" dxf="1">
    <nc r="D92">
      <f>SUM(B92/C92)</f>
    </nc>
    <odxf>
      <numFmt numFmtId="0" formatCode="General"/>
      <alignment horizontal="general" vertical="bottom" readingOrder="0"/>
      <border outline="0">
        <left/>
        <right/>
        <top/>
        <bottom/>
      </border>
    </odxf>
    <ndxf>
      <numFmt numFmtId="164" formatCode="#\ &quot;min&quot;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491" sId="1" odxf="1" dxf="1">
    <nc r="D93">
      <f>SUM(B93/C93)</f>
    </nc>
    <odxf>
      <numFmt numFmtId="0" formatCode="General"/>
      <alignment horizontal="general" vertical="bottom" readingOrder="0"/>
      <border outline="0">
        <left/>
        <right/>
        <top/>
        <bottom/>
      </border>
    </odxf>
    <ndxf>
      <numFmt numFmtId="164" formatCode="#\ &quot;min&quot;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492" sId="1" odxf="1" dxf="1">
    <nc r="D94">
      <f>SUM(B94/C94)</f>
    </nc>
    <odxf>
      <numFmt numFmtId="0" formatCode="General"/>
      <alignment horizontal="general" vertical="bottom" readingOrder="0"/>
      <border outline="0">
        <left/>
        <right/>
        <top/>
        <bottom/>
      </border>
    </odxf>
    <ndxf>
      <numFmt numFmtId="164" formatCode="#\ &quot;min&quot;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493" sId="1" odxf="1" dxf="1">
    <nc r="D95">
      <f>SUM(B95/C95)</f>
    </nc>
    <odxf>
      <numFmt numFmtId="0" formatCode="General"/>
      <alignment horizontal="general" vertical="bottom" readingOrder="0"/>
      <border outline="0">
        <left/>
        <right/>
        <top/>
        <bottom/>
      </border>
    </odxf>
    <ndxf>
      <numFmt numFmtId="164" formatCode="#\ &quot;min&quot;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494" sId="1" odxf="1" dxf="1">
    <nc r="D96">
      <f>SUM(B96/C96)</f>
    </nc>
    <odxf>
      <numFmt numFmtId="0" formatCode="General"/>
      <alignment horizontal="general" vertical="bottom" readingOrder="0"/>
      <border outline="0">
        <left/>
        <right/>
        <top/>
        <bottom/>
      </border>
    </odxf>
    <ndxf>
      <numFmt numFmtId="164" formatCode="#\ &quot;min&quot;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495" sId="1" odxf="1" dxf="1">
    <nc r="D97">
      <f>SUM(B97/C97)</f>
    </nc>
    <odxf>
      <numFmt numFmtId="0" formatCode="General"/>
      <alignment horizontal="general" vertical="bottom" readingOrder="0"/>
      <border outline="0">
        <left/>
        <right/>
        <top/>
        <bottom/>
      </border>
    </odxf>
    <ndxf>
      <numFmt numFmtId="164" formatCode="#\ &quot;min&quot;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496" sId="1" odxf="1" dxf="1">
    <nc r="D98">
      <f>SUM(B98/C98)</f>
    </nc>
    <odxf>
      <numFmt numFmtId="0" formatCode="General"/>
      <alignment horizontal="general" vertical="bottom" readingOrder="0"/>
      <border outline="0">
        <left/>
        <right/>
        <top/>
        <bottom/>
      </border>
    </odxf>
    <ndxf>
      <numFmt numFmtId="164" formatCode="#\ &quot;min&quot;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497" sId="1" odxf="1" dxf="1">
    <nc r="D99">
      <f>SUM(B99/C99)</f>
    </nc>
    <odxf>
      <numFmt numFmtId="0" formatCode="General"/>
      <alignment horizontal="general" vertical="bottom" readingOrder="0"/>
      <border outline="0">
        <left/>
        <right/>
        <top/>
        <bottom/>
      </border>
    </odxf>
    <ndxf>
      <numFmt numFmtId="164" formatCode="#\ &quot;min&quot;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498" sId="1" odxf="1" dxf="1">
    <nc r="D100">
      <f>SUM(B100/C100)</f>
    </nc>
    <odxf>
      <numFmt numFmtId="0" formatCode="General"/>
      <alignment horizontal="general" vertical="bottom" readingOrder="0"/>
      <border outline="0">
        <left/>
        <right/>
        <top/>
        <bottom/>
      </border>
    </odxf>
    <ndxf>
      <numFmt numFmtId="164" formatCode="#\ &quot;min&quot;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499" sId="1" odxf="1" dxf="1">
    <nc r="D101">
      <f>SUM(B101/C101)</f>
    </nc>
    <odxf>
      <numFmt numFmtId="0" formatCode="General"/>
      <alignment horizontal="general" vertical="bottom" readingOrder="0"/>
      <border outline="0">
        <left/>
        <right/>
        <top/>
        <bottom/>
      </border>
    </odxf>
    <ndxf>
      <numFmt numFmtId="164" formatCode="#\ &quot;min&quot;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500" sId="1" odxf="1" dxf="1">
    <nc r="D102">
      <f>SUM(B102/C102)</f>
    </nc>
    <odxf>
      <numFmt numFmtId="0" formatCode="General"/>
      <alignment horizontal="general" vertical="bottom" readingOrder="0"/>
      <border outline="0">
        <left/>
        <right/>
        <top/>
        <bottom/>
      </border>
    </odxf>
    <ndxf>
      <numFmt numFmtId="164" formatCode="#\ &quot;min&quot;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501" sId="1" odxf="1" dxf="1">
    <nc r="D103">
      <f>SUM(B103/C103)</f>
    </nc>
    <odxf>
      <numFmt numFmtId="0" formatCode="General"/>
      <alignment horizontal="general" vertical="bottom" readingOrder="0"/>
      <border outline="0">
        <left/>
        <right/>
        <top/>
        <bottom/>
      </border>
    </odxf>
    <ndxf>
      <numFmt numFmtId="164" formatCode="#\ &quot;min&quot;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502" sId="1" odxf="1" dxf="1">
    <nc r="D104">
      <f>SUM(B104/C104)</f>
    </nc>
    <odxf>
      <numFmt numFmtId="0" formatCode="General"/>
      <alignment horizontal="general" vertical="bottom" readingOrder="0"/>
      <border outline="0">
        <left/>
        <right/>
        <top/>
        <bottom/>
      </border>
    </odxf>
    <ndxf>
      <numFmt numFmtId="164" formatCode="#\ &quot;min&quot;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503" sId="1" odxf="1" dxf="1">
    <nc r="D105">
      <f>SUM(B105/C105)</f>
    </nc>
    <odxf>
      <numFmt numFmtId="0" formatCode="General"/>
      <alignment horizontal="general" vertical="bottom" readingOrder="0"/>
      <border outline="0">
        <left/>
        <right/>
        <top/>
        <bottom/>
      </border>
    </odxf>
    <ndxf>
      <numFmt numFmtId="164" formatCode="#\ &quot;min&quot;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504" sId="1" odxf="1" dxf="1">
    <nc r="D106">
      <f>SUM(B106/C106)</f>
    </nc>
    <odxf>
      <numFmt numFmtId="0" formatCode="General"/>
      <alignment horizontal="general" vertical="bottom" readingOrder="0"/>
      <border outline="0">
        <left/>
        <right/>
        <top/>
        <bottom/>
      </border>
    </odxf>
    <ndxf>
      <numFmt numFmtId="164" formatCode="#\ &quot;min&quot;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505" sId="1" odxf="1" dxf="1">
    <nc r="D107">
      <f>SUM(B107/C107)</f>
    </nc>
    <odxf>
      <numFmt numFmtId="0" formatCode="General"/>
      <alignment horizontal="general" vertical="bottom" readingOrder="0"/>
      <border outline="0">
        <left/>
        <right/>
        <top/>
        <bottom/>
      </border>
    </odxf>
    <ndxf>
      <numFmt numFmtId="164" formatCode="#\ &quot;min&quot;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506" sId="1" odxf="1" dxf="1">
    <nc r="D108">
      <f>SUM(B108/C108)</f>
    </nc>
    <odxf>
      <numFmt numFmtId="0" formatCode="General"/>
      <alignment horizontal="general" vertical="bottom" readingOrder="0"/>
      <border outline="0">
        <left/>
        <right/>
        <top/>
        <bottom/>
      </border>
    </odxf>
    <ndxf>
      <numFmt numFmtId="164" formatCode="#\ &quot;min&quot;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507" sId="1" odxf="1" dxf="1">
    <nc r="D109">
      <f>SUM(B109/C109)</f>
    </nc>
    <odxf>
      <numFmt numFmtId="0" formatCode="General"/>
      <alignment horizontal="general" vertical="bottom" readingOrder="0"/>
      <border outline="0">
        <left/>
        <right/>
        <top/>
        <bottom/>
      </border>
    </odxf>
    <ndxf>
      <numFmt numFmtId="164" formatCode="#\ &quot;min&quot;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508" sId="1" odxf="1" dxf="1">
    <nc r="D110">
      <f>SUM(B110/C110)</f>
    </nc>
    <odxf>
      <numFmt numFmtId="0" formatCode="General"/>
      <alignment horizontal="general" vertical="bottom" readingOrder="0"/>
      <border outline="0">
        <left/>
        <right/>
        <top/>
        <bottom/>
      </border>
    </odxf>
    <ndxf>
      <numFmt numFmtId="164" formatCode="#\ &quot;min&quot;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509" sId="1" odxf="1" dxf="1">
    <nc r="D111">
      <f>SUM(B111/C111)</f>
    </nc>
    <odxf>
      <numFmt numFmtId="0" formatCode="General"/>
      <alignment horizontal="general" vertical="bottom" readingOrder="0"/>
      <border outline="0">
        <left/>
        <right/>
        <top/>
        <bottom/>
      </border>
    </odxf>
    <ndxf>
      <numFmt numFmtId="164" formatCode="#\ &quot;min&quot;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</revisions>
</file>

<file path=xl/revisions/revisionLog34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510" sId="1" odxf="1" dxf="1" numFmtId="26">
    <nc r="A164">
      <v>0.82150462962962967</v>
    </nc>
    <odxf>
      <numFmt numFmtId="0" formatCode="General"/>
    </odxf>
    <ndxf>
      <numFmt numFmtId="26" formatCode="hh:mm:ss"/>
    </ndxf>
  </rcc>
  <rcc rId="1511" sId="1">
    <nc r="B164">
      <v>343</v>
    </nc>
  </rcc>
</revisions>
</file>

<file path=xl/revisions/revisionLog34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512" sId="1" odxf="1" dxf="1" numFmtId="26">
    <nc r="A165">
      <v>0.82185185185185183</v>
    </nc>
    <odxf>
      <numFmt numFmtId="0" formatCode="General"/>
    </odxf>
    <ndxf>
      <numFmt numFmtId="26" formatCode="hh:mm:ss"/>
    </ndxf>
  </rcc>
  <rcc rId="1513" sId="1">
    <nc r="B165">
      <v>322</v>
    </nc>
  </rcc>
</revisions>
</file>

<file path=xl/revisions/revisionLog34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rc rId="1514" sId="1" ref="A59:XFD59" action="deleteRow">
    <undo index="5" exp="ref" v="1" dr="A59" r="C60" sId="1"/>
    <undo index="0" exp="ref" v="1" dr="B59" r="C60" sId="1"/>
    <rfmt sheetId="1" xfDxf="1" sqref="A59:XFD59" start="0" length="0"/>
    <rcc rId="0" sId="1" dxf="1" numFmtId="23">
      <nc r="A59">
        <v>0.79520833333333341</v>
      </nc>
      <ndxf>
        <numFmt numFmtId="168" formatCode="[$-F400]h:mm:ss\ AM/PM"/>
        <alignment horizontal="center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59">
        <v>912307</v>
      </nc>
      <ndxf>
        <alignment horizontal="center" vertical="top" readingOrder="0"/>
      </ndxf>
    </rcc>
    <rcc rId="0" sId="1" dxf="1">
      <nc r="C59">
        <f>SUM((B58-B59)/((A59-A58)*86400)*60)</f>
      </nc>
      <ndxf>
        <numFmt numFmtId="1" formatCode="0"/>
        <alignment horizontal="center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D59">
        <f>SUM(B59/C59)</f>
      </nc>
      <ndxf>
        <numFmt numFmtId="164" formatCode="#\ &quot;min&quot;"/>
        <alignment horizontal="center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</rrc>
  <rrc rId="1515" sId="1" ref="A59:XFD59" action="deleteRow">
    <undo index="5" exp="ref" v="1" dr="A59" r="C60" sId="1"/>
    <undo index="0" exp="ref" v="1" dr="B59" r="C60" sId="1"/>
    <rfmt sheetId="1" xfDxf="1" sqref="A59:XFD59" start="0" length="0"/>
    <rcc rId="0" sId="1" dxf="1" numFmtId="23">
      <nc r="A59">
        <v>0.79546296296296293</v>
      </nc>
      <ndxf>
        <numFmt numFmtId="168" formatCode="[$-F400]h:mm:ss\ AM/PM"/>
        <alignment horizontal="center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59">
        <v>912292</v>
      </nc>
      <ndxf>
        <alignment horizontal="center" vertical="top" readingOrder="0"/>
      </ndxf>
    </rcc>
    <rcc rId="0" sId="1" dxf="1">
      <nc r="C59">
        <f>SUM((#REF!-B59)/((A59-#REF!)*86400)*60)</f>
      </nc>
      <ndxf>
        <numFmt numFmtId="1" formatCode="0"/>
        <alignment horizontal="center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D59">
        <f>SUM(B59/C59)</f>
      </nc>
      <ndxf>
        <numFmt numFmtId="164" formatCode="#\ &quot;min&quot;"/>
        <alignment horizontal="center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</rrc>
  <rrc rId="1516" sId="1" ref="A47:XFD47" action="deleteRow">
    <undo index="5" exp="ref" v="1" dr="A47" r="C48" sId="1"/>
    <undo index="0" exp="ref" v="1" dr="B47" r="C48" sId="1"/>
    <rfmt sheetId="1" xfDxf="1" sqref="A47:XFD47" start="0" length="0"/>
    <rcc rId="0" sId="1" dxf="1" numFmtId="23">
      <nc r="A47">
        <v>0.79115740740740748</v>
      </nc>
      <ndxf>
        <numFmt numFmtId="168" formatCode="[$-F400]h:mm:ss\ AM/PM"/>
        <alignment horizontal="center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47">
        <v>912527</v>
      </nc>
      <ndxf>
        <alignment horizontal="center" vertical="top" readingOrder="0"/>
      </ndxf>
    </rcc>
    <rcc rId="0" sId="1" dxf="1">
      <nc r="C47">
        <f>SUM((B46-B47)/((A47-A46)*86400)*60)</f>
      </nc>
      <ndxf>
        <numFmt numFmtId="1" formatCode="0"/>
        <alignment horizontal="center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D47">
        <f>SUM(B47/C47)</f>
      </nc>
      <ndxf>
        <numFmt numFmtId="164" formatCode="#\ &quot;min&quot;"/>
        <alignment horizontal="center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</rrc>
  <rrc rId="1517" sId="1" ref="A47:XFD47" action="deleteRow">
    <undo index="5" exp="ref" v="1" dr="A47" r="C48" sId="1"/>
    <undo index="0" exp="ref" v="1" dr="B47" r="C48" sId="1"/>
    <rfmt sheetId="1" xfDxf="1" sqref="A47:XFD47" start="0" length="0"/>
    <rcc rId="0" sId="1" dxf="1" numFmtId="23">
      <nc r="A47">
        <v>0.79141203703703711</v>
      </nc>
      <ndxf>
        <numFmt numFmtId="168" formatCode="[$-F400]h:mm:ss\ AM/PM"/>
        <alignment horizontal="center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47">
        <v>912511</v>
      </nc>
      <ndxf>
        <alignment horizontal="center" vertical="top" readingOrder="0"/>
      </ndxf>
    </rcc>
    <rcc rId="0" sId="1" dxf="1">
      <nc r="C47">
        <f>SUM((#REF!-B47)/((A47-#REF!)*86400)*60)</f>
      </nc>
      <ndxf>
        <numFmt numFmtId="1" formatCode="0"/>
        <alignment horizontal="center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D47">
        <f>SUM(B47/C47)</f>
      </nc>
      <ndxf>
        <numFmt numFmtId="164" formatCode="#\ &quot;min&quot;"/>
        <alignment horizontal="center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</rrc>
  <rrc rId="1518" sId="1" ref="A47:XFD47" action="deleteRow">
    <undo index="5" exp="ref" v="1" dr="A47" r="C48" sId="1"/>
    <undo index="0" exp="ref" v="1" dr="B47" r="C48" sId="1"/>
    <rfmt sheetId="1" xfDxf="1" sqref="A47:XFD47" start="0" length="0"/>
    <rcc rId="0" sId="1" dxf="1" numFmtId="23">
      <nc r="A47">
        <v>0.79190972222222211</v>
      </nc>
      <ndxf>
        <numFmt numFmtId="168" formatCode="[$-F400]h:mm:ss\ AM/PM"/>
        <alignment horizontal="center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47">
        <v>912489</v>
      </nc>
      <ndxf>
        <alignment horizontal="center" vertical="top" readingOrder="0"/>
      </ndxf>
    </rcc>
    <rcc rId="0" sId="1" dxf="1">
      <nc r="C47">
        <f>SUM((#REF!-B47)/((A47-#REF!)*86400)*60)</f>
      </nc>
      <ndxf>
        <numFmt numFmtId="1" formatCode="0"/>
        <alignment horizontal="center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D47">
        <f>SUM(B47/C47)</f>
      </nc>
      <ndxf>
        <numFmt numFmtId="164" formatCode="#\ &quot;min&quot;"/>
        <alignment horizontal="center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</rrc>
  <rrc rId="1519" sId="1" ref="A47:XFD47" action="deleteRow">
    <undo index="5" exp="ref" v="1" dr="A47" r="C48" sId="1"/>
    <undo index="0" exp="ref" v="1" dr="B47" r="C48" sId="1"/>
    <rfmt sheetId="1" xfDxf="1" sqref="A47:XFD47" start="0" length="0"/>
    <rcc rId="0" sId="1" dxf="1" numFmtId="23">
      <nc r="A47">
        <v>0.79236111111111107</v>
      </nc>
      <ndxf>
        <numFmt numFmtId="168" formatCode="[$-F400]h:mm:ss\ AM/PM"/>
        <alignment horizontal="center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47">
        <v>912454</v>
      </nc>
      <ndxf>
        <alignment horizontal="center" vertical="top" readingOrder="0"/>
      </ndxf>
    </rcc>
    <rcc rId="0" sId="1" dxf="1">
      <nc r="C47">
        <f>SUM((#REF!-B47)/((A47-#REF!)*86400)*60)</f>
      </nc>
      <ndxf>
        <numFmt numFmtId="1" formatCode="0"/>
        <alignment horizontal="center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D47">
        <f>SUM(B47/C47)</f>
      </nc>
      <ndxf>
        <numFmt numFmtId="164" formatCode="#\ &quot;min&quot;"/>
        <alignment horizontal="center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</rrc>
  <rrc rId="1520" sId="1" ref="A47:XFD47" action="deleteRow">
    <undo index="5" exp="ref" v="1" dr="A47" r="C48" sId="1"/>
    <undo index="0" exp="ref" v="1" dr="B47" r="C48" sId="1"/>
    <rfmt sheetId="1" xfDxf="1" sqref="A47:XFD47" start="0" length="0"/>
    <rcc rId="0" sId="1" dxf="1" numFmtId="23">
      <nc r="A47">
        <v>0.7926157407407407</v>
      </nc>
      <ndxf>
        <numFmt numFmtId="168" formatCode="[$-F400]h:mm:ss\ AM/PM"/>
        <alignment horizontal="center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47">
        <v>912431</v>
      </nc>
      <ndxf>
        <alignment horizontal="center" vertical="top" readingOrder="0"/>
      </ndxf>
    </rcc>
    <rcc rId="0" sId="1" dxf="1">
      <nc r="C47">
        <f>SUM((#REF!-B47)/((A47-#REF!)*86400)*60)</f>
      </nc>
      <ndxf>
        <numFmt numFmtId="1" formatCode="0"/>
        <alignment horizontal="center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D47">
        <f>SUM(B47/C47)</f>
      </nc>
      <ndxf>
        <numFmt numFmtId="164" formatCode="#\ &quot;min&quot;"/>
        <alignment horizontal="center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</rrc>
  <rrc rId="1521" sId="1" ref="A47:XFD47" action="deleteRow">
    <undo index="5" exp="ref" v="1" dr="A47" r="C48" sId="1"/>
    <undo index="0" exp="ref" v="1" dr="B47" r="C48" sId="1"/>
    <rfmt sheetId="1" xfDxf="1" sqref="A47:XFD47" start="0" length="0"/>
    <rcc rId="0" sId="1" dxf="1" numFmtId="23">
      <nc r="A47">
        <v>0.79293981481481479</v>
      </nc>
      <ndxf>
        <numFmt numFmtId="168" formatCode="[$-F400]h:mm:ss\ AM/PM"/>
        <alignment horizontal="center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47">
        <v>912413</v>
      </nc>
      <ndxf>
        <alignment horizontal="center" vertical="top" readingOrder="0"/>
      </ndxf>
    </rcc>
    <rcc rId="0" sId="1" dxf="1">
      <nc r="C47">
        <f>SUM((#REF!-B47)/((A47-#REF!)*86400)*60)</f>
      </nc>
      <ndxf>
        <numFmt numFmtId="1" formatCode="0"/>
        <alignment horizontal="center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D47">
        <f>SUM(B47/C47)</f>
      </nc>
      <ndxf>
        <numFmt numFmtId="164" formatCode="#\ &quot;min&quot;"/>
        <alignment horizontal="center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</rrc>
  <rrc rId="1522" sId="1" ref="A47:XFD47" action="deleteRow">
    <undo index="5" exp="ref" v="1" dr="A47" r="C48" sId="1"/>
    <undo index="0" exp="ref" v="1" dr="B47" r="C48" sId="1"/>
    <rfmt sheetId="1" xfDxf="1" sqref="A47:XFD47" start="0" length="0"/>
    <rcc rId="0" sId="1" dxf="1" numFmtId="23">
      <nc r="A47">
        <v>0.79356481481481478</v>
      </nc>
      <ndxf>
        <numFmt numFmtId="168" formatCode="[$-F400]h:mm:ss\ AM/PM"/>
        <alignment horizontal="center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47">
        <v>912378</v>
      </nc>
      <ndxf>
        <alignment horizontal="center" vertical="top" readingOrder="0"/>
      </ndxf>
    </rcc>
    <rcc rId="0" sId="1" dxf="1">
      <nc r="C47">
        <f>SUM((#REF!-B47)/((A47-#REF!)*86400)*60)</f>
      </nc>
      <ndxf>
        <numFmt numFmtId="1" formatCode="0"/>
        <alignment horizontal="center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D47">
        <f>SUM(B47/C47)</f>
      </nc>
      <ndxf>
        <numFmt numFmtId="164" formatCode="#\ &quot;min&quot;"/>
        <alignment horizontal="center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</rrc>
  <rrc rId="1523" sId="1" ref="A45:XFD45" action="deleteRow">
    <undo index="5" exp="ref" v="1" dr="A45" r="C46" sId="1"/>
    <undo index="0" exp="ref" v="1" dr="B45" r="C46" sId="1"/>
    <rfmt sheetId="1" xfDxf="1" sqref="A45:XFD45" start="0" length="0"/>
    <rcc rId="0" sId="1" dxf="1" numFmtId="23">
      <nc r="A45">
        <v>0.79039351851851858</v>
      </nc>
      <ndxf>
        <numFmt numFmtId="168" formatCode="[$-F400]h:mm:ss\ AM/PM"/>
        <alignment horizontal="center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45">
        <v>912576</v>
      </nc>
      <ndxf>
        <alignment horizontal="center" vertical="top" readingOrder="0"/>
      </ndxf>
    </rcc>
    <rcc rId="0" sId="1" dxf="1">
      <nc r="C45">
        <f>SUM((B44-B45)/((A45-A44)*86400)*60)</f>
      </nc>
      <ndxf>
        <numFmt numFmtId="1" formatCode="0"/>
        <alignment horizontal="center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D45">
        <f>SUM(B45/C45)</f>
      </nc>
      <ndxf>
        <numFmt numFmtId="164" formatCode="#\ &quot;min&quot;"/>
        <alignment horizontal="center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</rrc>
  <rrc rId="1524" sId="1" ref="A42:XFD42" action="deleteRow">
    <undo index="5" exp="ref" v="1" dr="A42" r="C43" sId="1"/>
    <undo index="0" exp="ref" v="1" dr="B42" r="C43" sId="1"/>
    <rfmt sheetId="1" xfDxf="1" sqref="A42:XFD42" start="0" length="0"/>
    <rcc rId="0" sId="1" dxf="1" numFmtId="23">
      <nc r="A42">
        <v>0.78969907407407414</v>
      </nc>
      <ndxf>
        <numFmt numFmtId="168" formatCode="[$-F400]h:mm:ss\ AM/PM"/>
        <alignment horizontal="center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42">
        <v>912614</v>
      </nc>
      <ndxf>
        <alignment horizontal="center" vertical="top" readingOrder="0"/>
      </ndxf>
    </rcc>
    <rcc rId="0" sId="1" dxf="1">
      <nc r="C42">
        <f>SUM((B41-B42)/((A42-A41)*86400)*60)</f>
      </nc>
      <ndxf>
        <numFmt numFmtId="1" formatCode="0"/>
        <alignment horizontal="center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D42">
        <f>SUM(B42/C42)</f>
      </nc>
      <ndxf>
        <numFmt numFmtId="164" formatCode="#\ &quot;min&quot;"/>
        <alignment horizontal="center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</rrc>
  <rrc rId="1525" sId="1" ref="A42:XFD42" action="deleteRow">
    <undo index="5" exp="ref" v="1" dr="A42" r="C43" sId="1"/>
    <undo index="0" exp="ref" v="1" dr="B42" r="C43" sId="1"/>
    <rfmt sheetId="1" xfDxf="1" sqref="A42:XFD42" start="0" length="0"/>
    <rcc rId="0" sId="1" dxf="1" numFmtId="23">
      <nc r="A42">
        <v>0.7898842592592592</v>
      </nc>
      <ndxf>
        <numFmt numFmtId="168" formatCode="[$-F400]h:mm:ss\ AM/PM"/>
        <alignment horizontal="center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42">
        <v>912597</v>
      </nc>
      <ndxf>
        <alignment horizontal="center" vertical="top" readingOrder="0"/>
      </ndxf>
    </rcc>
    <rcc rId="0" sId="1" dxf="1">
      <nc r="C42">
        <f>SUM((#REF!-B42)/((A42-#REF!)*86400)*60)</f>
      </nc>
      <ndxf>
        <numFmt numFmtId="1" formatCode="0"/>
        <alignment horizontal="center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D42">
        <f>SUM(B42/C42)</f>
      </nc>
      <ndxf>
        <numFmt numFmtId="164" formatCode="#\ &quot;min&quot;"/>
        <alignment horizontal="center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</rrc>
  <rrc rId="1526" sId="1" ref="A95:XFD95" action="deleteRow">
    <undo index="5" exp="ref" v="1" dr="A95" r="C96" sId="1"/>
    <undo index="0" exp="ref" v="1" dr="B95" r="C96" sId="1"/>
    <rfmt sheetId="1" xfDxf="1" sqref="A95:XFD95" start="0" length="0"/>
    <rcc rId="0" sId="1" dxf="1" numFmtId="23">
      <nc r="A95">
        <v>0.80807870370370372</v>
      </nc>
      <ndxf>
        <numFmt numFmtId="168" formatCode="[$-F400]h:mm:ss\ AM/PM"/>
        <alignment horizontal="center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95">
        <v>911566</v>
      </nc>
      <ndxf>
        <alignment horizontal="center" vertical="top" readingOrder="0"/>
      </ndxf>
    </rcc>
    <rcc rId="0" sId="1" dxf="1">
      <nc r="C95">
        <f>SUM((B94-B95)/((A95-A94)*86400)*60)</f>
      </nc>
      <ndxf>
        <numFmt numFmtId="1" formatCode="0"/>
        <alignment horizontal="center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D95">
        <f>SUM(B95/C95)</f>
      </nc>
      <ndxf>
        <numFmt numFmtId="164" formatCode="#\ &quot;min&quot;"/>
        <alignment horizontal="center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</rrc>
  <rrc rId="1527" sId="1" ref="A95:XFD95" action="deleteRow">
    <undo index="5" exp="ref" v="1" dr="A95" r="C96" sId="1"/>
    <undo index="0" exp="ref" v="1" dr="B95" r="C96" sId="1"/>
    <rfmt sheetId="1" xfDxf="1" sqref="A95:XFD95" start="0" length="0"/>
    <rcc rId="0" sId="1" dxf="1" numFmtId="23">
      <nc r="A95">
        <v>0.80828703703703697</v>
      </nc>
      <ndxf>
        <numFmt numFmtId="168" formatCode="[$-F400]h:mm:ss\ AM/PM"/>
        <alignment horizontal="center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95">
        <v>911556</v>
      </nc>
      <ndxf>
        <alignment horizontal="center" vertical="top" readingOrder="0"/>
      </ndxf>
    </rcc>
    <rcc rId="0" sId="1" dxf="1">
      <nc r="C95">
        <f>SUM((#REF!-B95)/((A95-#REF!)*86400)*60)</f>
      </nc>
      <ndxf>
        <numFmt numFmtId="1" formatCode="0"/>
        <alignment horizontal="center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D95">
        <f>SUM(B95/C95)</f>
      </nc>
      <ndxf>
        <numFmt numFmtId="164" formatCode="#\ &quot;min&quot;"/>
        <alignment horizontal="center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</rrc>
  <rrc rId="1528" sId="1" ref="A95:XFD95" action="deleteRow">
    <undo index="5" exp="ref" v="1" dr="A95" r="C96" sId="1"/>
    <undo index="0" exp="ref" v="1" dr="B95" r="C96" sId="1"/>
    <rfmt sheetId="1" xfDxf="1" sqref="A95:XFD95" start="0" length="0"/>
    <rcc rId="0" sId="1" dxf="1" numFmtId="23">
      <nc r="A95">
        <v>0.80855324074074064</v>
      </nc>
      <ndxf>
        <numFmt numFmtId="168" formatCode="[$-F400]h:mm:ss\ AM/PM"/>
        <alignment horizontal="center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95">
        <v>911542</v>
      </nc>
      <ndxf>
        <alignment horizontal="center" vertical="top" readingOrder="0"/>
      </ndxf>
    </rcc>
    <rcc rId="0" sId="1" dxf="1">
      <nc r="C95">
        <f>SUM((#REF!-B95)/((A95-#REF!)*86400)*60)</f>
      </nc>
      <ndxf>
        <numFmt numFmtId="1" formatCode="0"/>
        <alignment horizontal="center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D95">
        <f>SUM(B95/C95)</f>
      </nc>
      <ndxf>
        <numFmt numFmtId="164" formatCode="#\ &quot;min&quot;"/>
        <alignment horizontal="center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</rrc>
  <rcc rId="1529" sId="1">
    <oc r="C95">
      <f>SUM((#REF!-B95)/((A95-#REF!)*86400)*60)</f>
    </oc>
    <nc r="C95">
      <f>SUM((B94-B95)/((A95-A94)*86400)*60)</f>
    </nc>
  </rcc>
  <rrc rId="1530" sId="1" ref="A97:XFD97" action="deleteRow">
    <rfmt sheetId="1" xfDxf="1" sqref="A97:XFD97" start="0" length="0"/>
    <rfmt sheetId="1" sqref="A97" start="0" length="0">
      <dxf>
        <numFmt numFmtId="26" formatCode="hh:mm:ss"/>
      </dxf>
    </rfmt>
    <rfmt sheetId="1" sqref="B97" start="0" length="0">
      <dxf>
        <alignment horizontal="center" vertical="top" readingOrder="0"/>
      </dxf>
    </rfmt>
  </rrc>
  <rcc rId="1531" sId="1" odxf="1" dxf="1">
    <nc r="C97">
      <f>SUM((B96-B97)/((A97-A96)*86400)*60)</f>
    </nc>
    <odxf>
      <numFmt numFmtId="0" formatCode="General"/>
      <alignment horizontal="general" vertical="bottom" readingOrder="0"/>
      <border outline="0">
        <left/>
        <right/>
        <top/>
        <bottom/>
      </border>
    </odxf>
    <ndxf>
      <numFmt numFmtId="1" formatCode="0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532" sId="1" odxf="1" dxf="1">
    <nc r="D97">
      <f>SUM(B97/C97)</f>
    </nc>
    <odxf>
      <numFmt numFmtId="0" formatCode="General"/>
      <alignment horizontal="general" vertical="bottom" readingOrder="0"/>
      <border outline="0">
        <left/>
        <right/>
        <top/>
        <bottom/>
      </border>
    </odxf>
    <ndxf>
      <numFmt numFmtId="164" formatCode="#\ &quot;min&quot;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533" sId="1" odxf="1" dxf="1">
    <nc r="C98">
      <f>SUM((B97-B98)/((A98-A97)*86400)*60)</f>
    </nc>
    <odxf>
      <numFmt numFmtId="0" formatCode="General"/>
      <alignment horizontal="general" vertical="bottom" readingOrder="0"/>
      <border outline="0">
        <left/>
        <right/>
        <top/>
        <bottom/>
      </border>
    </odxf>
    <ndxf>
      <numFmt numFmtId="1" formatCode="0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534" sId="1" odxf="1" dxf="1">
    <nc r="D98">
      <f>SUM(B98/C98)</f>
    </nc>
    <odxf>
      <numFmt numFmtId="0" formatCode="General"/>
      <alignment horizontal="general" vertical="bottom" readingOrder="0"/>
      <border outline="0">
        <left/>
        <right/>
        <top/>
        <bottom/>
      </border>
    </odxf>
    <ndxf>
      <numFmt numFmtId="164" formatCode="#\ &quot;min&quot;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535" sId="1" odxf="1" dxf="1">
    <nc r="C99">
      <f>SUM((B98-B99)/((A99-A98)*86400)*60)</f>
    </nc>
    <odxf>
      <numFmt numFmtId="0" formatCode="General"/>
      <alignment horizontal="general" vertical="bottom" readingOrder="0"/>
      <border outline="0">
        <left/>
        <right/>
        <top/>
        <bottom/>
      </border>
    </odxf>
    <ndxf>
      <numFmt numFmtId="1" formatCode="0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536" sId="1" odxf="1" dxf="1">
    <nc r="D99">
      <f>SUM(B99/C99)</f>
    </nc>
    <odxf>
      <numFmt numFmtId="0" formatCode="General"/>
      <alignment horizontal="general" vertical="bottom" readingOrder="0"/>
      <border outline="0">
        <left/>
        <right/>
        <top/>
        <bottom/>
      </border>
    </odxf>
    <ndxf>
      <numFmt numFmtId="164" formatCode="#\ &quot;min&quot;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537" sId="1" odxf="1" dxf="1">
    <nc r="C100">
      <f>SUM((B99-B100)/((A100-A99)*86400)*60)</f>
    </nc>
    <odxf>
      <numFmt numFmtId="0" formatCode="General"/>
      <alignment horizontal="general" vertical="bottom" readingOrder="0"/>
      <border outline="0">
        <left/>
        <right/>
        <top/>
        <bottom/>
      </border>
    </odxf>
    <ndxf>
      <numFmt numFmtId="1" formatCode="0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538" sId="1" odxf="1" dxf="1">
    <nc r="D100">
      <f>SUM(B100/C100)</f>
    </nc>
    <odxf>
      <numFmt numFmtId="0" formatCode="General"/>
      <alignment horizontal="general" vertical="bottom" readingOrder="0"/>
      <border outline="0">
        <left/>
        <right/>
        <top/>
        <bottom/>
      </border>
    </odxf>
    <ndxf>
      <numFmt numFmtId="164" formatCode="#\ &quot;min&quot;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539" sId="1" odxf="1" dxf="1">
    <nc r="C101">
      <f>SUM((B100-B101)/((A101-A100)*86400)*60)</f>
    </nc>
    <odxf>
      <numFmt numFmtId="0" formatCode="General"/>
      <alignment horizontal="general" vertical="bottom" readingOrder="0"/>
      <border outline="0">
        <left/>
        <right/>
        <top/>
        <bottom/>
      </border>
    </odxf>
    <ndxf>
      <numFmt numFmtId="1" formatCode="0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540" sId="1" odxf="1" dxf="1">
    <nc r="D101">
      <f>SUM(B101/C101)</f>
    </nc>
    <odxf>
      <numFmt numFmtId="0" formatCode="General"/>
      <alignment horizontal="general" vertical="bottom" readingOrder="0"/>
      <border outline="0">
        <left/>
        <right/>
        <top/>
        <bottom/>
      </border>
    </odxf>
    <ndxf>
      <numFmt numFmtId="164" formatCode="#\ &quot;min&quot;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541" sId="1" odxf="1" dxf="1">
    <nc r="C102">
      <f>SUM((B101-B102)/((A102-A101)*86400)*60)</f>
    </nc>
    <odxf>
      <numFmt numFmtId="0" formatCode="General"/>
      <alignment horizontal="general" vertical="bottom" readingOrder="0"/>
      <border outline="0">
        <left/>
        <right/>
        <top/>
        <bottom/>
      </border>
    </odxf>
    <ndxf>
      <numFmt numFmtId="1" formatCode="0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542" sId="1" odxf="1" dxf="1">
    <nc r="D102">
      <f>SUM(B102/C102)</f>
    </nc>
    <odxf>
      <numFmt numFmtId="0" formatCode="General"/>
      <alignment horizontal="general" vertical="bottom" readingOrder="0"/>
      <border outline="0">
        <left/>
        <right/>
        <top/>
        <bottom/>
      </border>
    </odxf>
    <ndxf>
      <numFmt numFmtId="164" formatCode="#\ &quot;min&quot;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543" sId="1" odxf="1" dxf="1">
    <nc r="C103">
      <f>SUM((B102-B103)/((A103-A102)*86400)*60)</f>
    </nc>
    <odxf>
      <numFmt numFmtId="0" formatCode="General"/>
      <alignment horizontal="general" vertical="bottom" readingOrder="0"/>
      <border outline="0">
        <left/>
        <right/>
        <top/>
        <bottom/>
      </border>
    </odxf>
    <ndxf>
      <numFmt numFmtId="1" formatCode="0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544" sId="1" odxf="1" dxf="1">
    <nc r="D103">
      <f>SUM(B103/C103)</f>
    </nc>
    <odxf>
      <numFmt numFmtId="0" formatCode="General"/>
      <alignment horizontal="general" vertical="bottom" readingOrder="0"/>
      <border outline="0">
        <left/>
        <right/>
        <top/>
        <bottom/>
      </border>
    </odxf>
    <ndxf>
      <numFmt numFmtId="164" formatCode="#\ &quot;min&quot;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545" sId="1" odxf="1" dxf="1">
    <nc r="C104">
      <f>SUM((B103-B104)/((A104-A103)*86400)*60)</f>
    </nc>
    <odxf>
      <numFmt numFmtId="0" formatCode="General"/>
      <alignment horizontal="general" vertical="bottom" readingOrder="0"/>
      <border outline="0">
        <left/>
        <right/>
        <top/>
        <bottom/>
      </border>
    </odxf>
    <ndxf>
      <numFmt numFmtId="1" formatCode="0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546" sId="1" odxf="1" dxf="1">
    <nc r="D104">
      <f>SUM(B104/C104)</f>
    </nc>
    <odxf>
      <numFmt numFmtId="0" formatCode="General"/>
      <alignment horizontal="general" vertical="bottom" readingOrder="0"/>
      <border outline="0">
        <left/>
        <right/>
        <top/>
        <bottom/>
      </border>
    </odxf>
    <ndxf>
      <numFmt numFmtId="164" formatCode="#\ &quot;min&quot;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547" sId="1" odxf="1" dxf="1">
    <nc r="C105">
      <f>SUM((B104-B105)/((A105-A104)*86400)*60)</f>
    </nc>
    <odxf>
      <numFmt numFmtId="0" formatCode="General"/>
      <alignment horizontal="general" vertical="bottom" readingOrder="0"/>
      <border outline="0">
        <left/>
        <right/>
        <top/>
        <bottom/>
      </border>
    </odxf>
    <ndxf>
      <numFmt numFmtId="1" formatCode="0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548" sId="1" odxf="1" dxf="1">
    <nc r="D105">
      <f>SUM(B105/C105)</f>
    </nc>
    <odxf>
      <numFmt numFmtId="0" formatCode="General"/>
      <alignment horizontal="general" vertical="bottom" readingOrder="0"/>
      <border outline="0">
        <left/>
        <right/>
        <top/>
        <bottom/>
      </border>
    </odxf>
    <ndxf>
      <numFmt numFmtId="164" formatCode="#\ &quot;min&quot;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549" sId="1" odxf="1" dxf="1">
    <nc r="C106">
      <f>SUM((B105-B106)/((A106-A105)*86400)*60)</f>
    </nc>
    <odxf>
      <numFmt numFmtId="0" formatCode="General"/>
      <alignment horizontal="general" vertical="bottom" readingOrder="0"/>
      <border outline="0">
        <left/>
        <right/>
        <top/>
        <bottom/>
      </border>
    </odxf>
    <ndxf>
      <numFmt numFmtId="1" formatCode="0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550" sId="1" odxf="1" dxf="1">
    <nc r="D106">
      <f>SUM(B106/C106)</f>
    </nc>
    <odxf>
      <numFmt numFmtId="0" formatCode="General"/>
      <alignment horizontal="general" vertical="bottom" readingOrder="0"/>
      <border outline="0">
        <left/>
        <right/>
        <top/>
        <bottom/>
      </border>
    </odxf>
    <ndxf>
      <numFmt numFmtId="164" formatCode="#\ &quot;min&quot;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551" sId="1" odxf="1" dxf="1">
    <nc r="C107">
      <f>SUM((B106-B107)/((A107-A106)*86400)*60)</f>
    </nc>
    <odxf>
      <numFmt numFmtId="0" formatCode="General"/>
      <alignment horizontal="general" vertical="bottom" readingOrder="0"/>
      <border outline="0">
        <left/>
        <right/>
        <top/>
        <bottom/>
      </border>
    </odxf>
    <ndxf>
      <numFmt numFmtId="1" formatCode="0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552" sId="1" odxf="1" dxf="1">
    <nc r="D107">
      <f>SUM(B107/C107)</f>
    </nc>
    <odxf>
      <numFmt numFmtId="0" formatCode="General"/>
      <alignment horizontal="general" vertical="bottom" readingOrder="0"/>
      <border outline="0">
        <left/>
        <right/>
        <top/>
        <bottom/>
      </border>
    </odxf>
    <ndxf>
      <numFmt numFmtId="164" formatCode="#\ &quot;min&quot;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553" sId="1" odxf="1" dxf="1">
    <nc r="C108">
      <f>SUM((B107-B108)/((A108-A107)*86400)*60)</f>
    </nc>
    <odxf>
      <numFmt numFmtId="0" formatCode="General"/>
      <alignment horizontal="general" vertical="bottom" readingOrder="0"/>
      <border outline="0">
        <left/>
        <right/>
        <top/>
        <bottom/>
      </border>
    </odxf>
    <ndxf>
      <numFmt numFmtId="1" formatCode="0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554" sId="1" odxf="1" dxf="1">
    <nc r="D108">
      <f>SUM(B108/C108)</f>
    </nc>
    <odxf>
      <numFmt numFmtId="0" formatCode="General"/>
      <alignment horizontal="general" vertical="bottom" readingOrder="0"/>
      <border outline="0">
        <left/>
        <right/>
        <top/>
        <bottom/>
      </border>
    </odxf>
    <ndxf>
      <numFmt numFmtId="164" formatCode="#\ &quot;min&quot;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555" sId="1" odxf="1" dxf="1">
    <nc r="C109">
      <f>SUM((B108-B109)/((A109-A108)*86400)*60)</f>
    </nc>
    <odxf>
      <numFmt numFmtId="0" formatCode="General"/>
      <alignment horizontal="general" vertical="bottom" readingOrder="0"/>
      <border outline="0">
        <left/>
        <right/>
        <top/>
        <bottom/>
      </border>
    </odxf>
    <ndxf>
      <numFmt numFmtId="1" formatCode="0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556" sId="1" odxf="1" dxf="1">
    <nc r="D109">
      <f>SUM(B109/C109)</f>
    </nc>
    <odxf>
      <numFmt numFmtId="0" formatCode="General"/>
      <alignment horizontal="general" vertical="bottom" readingOrder="0"/>
      <border outline="0">
        <left/>
        <right/>
        <top/>
        <bottom/>
      </border>
    </odxf>
    <ndxf>
      <numFmt numFmtId="164" formatCode="#\ &quot;min&quot;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557" sId="1" odxf="1" dxf="1">
    <nc r="C110">
      <f>SUM((B109-B110)/((A110-A109)*86400)*60)</f>
    </nc>
    <odxf>
      <numFmt numFmtId="0" formatCode="General"/>
      <alignment horizontal="general" vertical="bottom" readingOrder="0"/>
      <border outline="0">
        <left/>
        <right/>
        <top/>
        <bottom/>
      </border>
    </odxf>
    <ndxf>
      <numFmt numFmtId="1" formatCode="0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558" sId="1" odxf="1" dxf="1">
    <nc r="D110">
      <f>SUM(B110/C110)</f>
    </nc>
    <odxf>
      <numFmt numFmtId="0" formatCode="General"/>
      <alignment horizontal="general" vertical="bottom" readingOrder="0"/>
      <border outline="0">
        <left/>
        <right/>
        <top/>
        <bottom/>
      </border>
    </odxf>
    <ndxf>
      <numFmt numFmtId="164" formatCode="#\ &quot;min&quot;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559" sId="1" odxf="1" dxf="1">
    <nc r="C111">
      <f>SUM((B110-B111)/((A111-A110)*86400)*60)</f>
    </nc>
    <odxf>
      <numFmt numFmtId="0" formatCode="General"/>
      <alignment horizontal="general" vertical="bottom" readingOrder="0"/>
      <border outline="0">
        <left/>
        <right/>
        <top/>
        <bottom/>
      </border>
    </odxf>
    <ndxf>
      <numFmt numFmtId="1" formatCode="0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560" sId="1" odxf="1" dxf="1">
    <nc r="D111">
      <f>SUM(B111/C111)</f>
    </nc>
    <odxf>
      <numFmt numFmtId="0" formatCode="General"/>
      <alignment horizontal="general" vertical="bottom" readingOrder="0"/>
      <border outline="0">
        <left/>
        <right/>
        <top/>
        <bottom/>
      </border>
    </odxf>
    <ndxf>
      <numFmt numFmtId="164" formatCode="#\ &quot;min&quot;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561" sId="1" odxf="1" dxf="1">
    <nc r="C112">
      <f>SUM((B111-B112)/((A112-A111)*86400)*60)</f>
    </nc>
    <odxf>
      <numFmt numFmtId="0" formatCode="General"/>
      <alignment horizontal="general" vertical="bottom" readingOrder="0"/>
      <border outline="0">
        <left/>
        <right/>
        <top/>
        <bottom/>
      </border>
    </odxf>
    <ndxf>
      <numFmt numFmtId="1" formatCode="0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562" sId="1" odxf="1" dxf="1">
    <nc r="D112">
      <f>SUM(B112/C112)</f>
    </nc>
    <odxf>
      <numFmt numFmtId="0" formatCode="General"/>
      <alignment horizontal="general" vertical="bottom" readingOrder="0"/>
      <border outline="0">
        <left/>
        <right/>
        <top/>
        <bottom/>
      </border>
    </odxf>
    <ndxf>
      <numFmt numFmtId="164" formatCode="#\ &quot;min&quot;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563" sId="1" odxf="1" dxf="1">
    <nc r="C113">
      <f>SUM((B112-B113)/((A113-A112)*86400)*60)</f>
    </nc>
    <odxf>
      <numFmt numFmtId="0" formatCode="General"/>
      <alignment horizontal="general" vertical="bottom" readingOrder="0"/>
      <border outline="0">
        <left/>
        <right/>
        <top/>
        <bottom/>
      </border>
    </odxf>
    <ndxf>
      <numFmt numFmtId="1" formatCode="0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564" sId="1" odxf="1" dxf="1">
    <nc r="D113">
      <f>SUM(B113/C113)</f>
    </nc>
    <odxf>
      <numFmt numFmtId="0" formatCode="General"/>
      <alignment horizontal="general" vertical="bottom" readingOrder="0"/>
      <border outline="0">
        <left/>
        <right/>
        <top/>
        <bottom/>
      </border>
    </odxf>
    <ndxf>
      <numFmt numFmtId="164" formatCode="#\ &quot;min&quot;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565" sId="1" odxf="1" dxf="1">
    <nc r="C114">
      <f>SUM((B113-B114)/((A114-A113)*86400)*60)</f>
    </nc>
    <odxf>
      <numFmt numFmtId="0" formatCode="General"/>
      <alignment horizontal="general" vertical="bottom" readingOrder="0"/>
      <border outline="0">
        <left/>
        <right/>
        <top/>
        <bottom/>
      </border>
    </odxf>
    <ndxf>
      <numFmt numFmtId="1" formatCode="0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566" sId="1" odxf="1" dxf="1">
    <nc r="D114">
      <f>SUM(B114/C114)</f>
    </nc>
    <odxf>
      <numFmt numFmtId="0" formatCode="General"/>
      <alignment horizontal="general" vertical="bottom" readingOrder="0"/>
      <border outline="0">
        <left/>
        <right/>
        <top/>
        <bottom/>
      </border>
    </odxf>
    <ndxf>
      <numFmt numFmtId="164" formatCode="#\ &quot;min&quot;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567" sId="1" odxf="1" dxf="1">
    <nc r="C115">
      <f>SUM((B114-B115)/((A115-A114)*86400)*60)</f>
    </nc>
    <odxf>
      <numFmt numFmtId="0" formatCode="General"/>
      <alignment horizontal="general" vertical="bottom" readingOrder="0"/>
      <border outline="0">
        <left/>
        <right/>
        <top/>
        <bottom/>
      </border>
    </odxf>
    <ndxf>
      <numFmt numFmtId="1" formatCode="0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568" sId="1" odxf="1" dxf="1">
    <nc r="D115">
      <f>SUM(B115/C115)</f>
    </nc>
    <odxf>
      <numFmt numFmtId="0" formatCode="General"/>
      <alignment horizontal="general" vertical="bottom" readingOrder="0"/>
      <border outline="0">
        <left/>
        <right/>
        <top/>
        <bottom/>
      </border>
    </odxf>
    <ndxf>
      <numFmt numFmtId="164" formatCode="#\ &quot;min&quot;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569" sId="1" odxf="1" dxf="1">
    <nc r="C116">
      <f>SUM((B115-B116)/((A116-A115)*86400)*60)</f>
    </nc>
    <odxf>
      <numFmt numFmtId="0" formatCode="General"/>
      <alignment horizontal="general" vertical="bottom" readingOrder="0"/>
      <border outline="0">
        <left/>
        <right/>
        <top/>
        <bottom/>
      </border>
    </odxf>
    <ndxf>
      <numFmt numFmtId="1" formatCode="0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570" sId="1" odxf="1" dxf="1">
    <nc r="D116">
      <f>SUM(B116/C116)</f>
    </nc>
    <odxf>
      <numFmt numFmtId="0" formatCode="General"/>
      <alignment horizontal="general" vertical="bottom" readingOrder="0"/>
      <border outline="0">
        <left/>
        <right/>
        <top/>
        <bottom/>
      </border>
    </odxf>
    <ndxf>
      <numFmt numFmtId="164" formatCode="#\ &quot;min&quot;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571" sId="1" odxf="1" dxf="1">
    <nc r="C117">
      <f>SUM((B116-B117)/((A117-A116)*86400)*60)</f>
    </nc>
    <odxf>
      <numFmt numFmtId="0" formatCode="General"/>
      <alignment horizontal="general" vertical="bottom" readingOrder="0"/>
      <border outline="0">
        <left/>
        <right/>
        <top/>
        <bottom/>
      </border>
    </odxf>
    <ndxf>
      <numFmt numFmtId="1" formatCode="0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572" sId="1" odxf="1" dxf="1">
    <nc r="D117">
      <f>SUM(B117/C117)</f>
    </nc>
    <odxf>
      <numFmt numFmtId="0" formatCode="General"/>
      <alignment horizontal="general" vertical="bottom" readingOrder="0"/>
      <border outline="0">
        <left/>
        <right/>
        <top/>
        <bottom/>
      </border>
    </odxf>
    <ndxf>
      <numFmt numFmtId="164" formatCode="#\ &quot;min&quot;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573" sId="1" odxf="1" dxf="1">
    <nc r="C118">
      <f>SUM((B117-B118)/((A118-A117)*86400)*60)</f>
    </nc>
    <odxf>
      <numFmt numFmtId="0" formatCode="General"/>
      <alignment horizontal="general" vertical="bottom" readingOrder="0"/>
      <border outline="0">
        <left/>
        <right/>
        <top/>
        <bottom/>
      </border>
    </odxf>
    <ndxf>
      <numFmt numFmtId="1" formatCode="0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574" sId="1" odxf="1" dxf="1">
    <nc r="D118">
      <f>SUM(B118/C118)</f>
    </nc>
    <odxf>
      <numFmt numFmtId="0" formatCode="General"/>
      <alignment horizontal="general" vertical="bottom" readingOrder="0"/>
      <border outline="0">
        <left/>
        <right/>
        <top/>
        <bottom/>
      </border>
    </odxf>
    <ndxf>
      <numFmt numFmtId="164" formatCode="#\ &quot;min&quot;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575" sId="1" odxf="1" dxf="1">
    <nc r="C119">
      <f>SUM((B118-B119)/((A119-A118)*86400)*60)</f>
    </nc>
    <odxf>
      <numFmt numFmtId="0" formatCode="General"/>
      <alignment horizontal="general" vertical="bottom" readingOrder="0"/>
      <border outline="0">
        <left/>
        <right/>
        <top/>
        <bottom/>
      </border>
    </odxf>
    <ndxf>
      <numFmt numFmtId="1" formatCode="0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576" sId="1" odxf="1" dxf="1">
    <nc r="D119">
      <f>SUM(B119/C119)</f>
    </nc>
    <odxf>
      <numFmt numFmtId="0" formatCode="General"/>
      <alignment horizontal="general" vertical="bottom" readingOrder="0"/>
      <border outline="0">
        <left/>
        <right/>
        <top/>
        <bottom/>
      </border>
    </odxf>
    <ndxf>
      <numFmt numFmtId="164" formatCode="#\ &quot;min&quot;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577" sId="1" odxf="1" dxf="1">
    <nc r="C120">
      <f>SUM((B119-B120)/((A120-A119)*86400)*60)</f>
    </nc>
    <odxf>
      <numFmt numFmtId="0" formatCode="General"/>
      <alignment horizontal="general" vertical="bottom" readingOrder="0"/>
      <border outline="0">
        <left/>
        <right/>
        <top/>
        <bottom/>
      </border>
    </odxf>
    <ndxf>
      <numFmt numFmtId="1" formatCode="0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578" sId="1" odxf="1" dxf="1">
    <nc r="D120">
      <f>SUM(B120/C120)</f>
    </nc>
    <odxf>
      <numFmt numFmtId="0" formatCode="General"/>
      <alignment horizontal="general" vertical="bottom" readingOrder="0"/>
      <border outline="0">
        <left/>
        <right/>
        <top/>
        <bottom/>
      </border>
    </odxf>
    <ndxf>
      <numFmt numFmtId="164" formatCode="#\ &quot;min&quot;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579" sId="1" odxf="1" dxf="1">
    <nc r="C121">
      <f>SUM((B120-B121)/((A121-A120)*86400)*60)</f>
    </nc>
    <odxf>
      <numFmt numFmtId="0" formatCode="General"/>
      <alignment horizontal="general" vertical="bottom" readingOrder="0"/>
      <border outline="0">
        <left/>
        <right/>
        <top/>
        <bottom/>
      </border>
    </odxf>
    <ndxf>
      <numFmt numFmtId="1" formatCode="0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580" sId="1" odxf="1" dxf="1">
    <nc r="D121">
      <f>SUM(B121/C121)</f>
    </nc>
    <odxf>
      <numFmt numFmtId="0" formatCode="General"/>
      <alignment horizontal="general" vertical="bottom" readingOrder="0"/>
      <border outline="0">
        <left/>
        <right/>
        <top/>
        <bottom/>
      </border>
    </odxf>
    <ndxf>
      <numFmt numFmtId="164" formatCode="#\ &quot;min&quot;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581" sId="1" odxf="1" dxf="1">
    <nc r="C122">
      <f>SUM((B121-B122)/((A122-A121)*86400)*60)</f>
    </nc>
    <odxf>
      <numFmt numFmtId="0" formatCode="General"/>
      <alignment horizontal="general" vertical="bottom" readingOrder="0"/>
      <border outline="0">
        <left/>
        <right/>
        <top/>
        <bottom/>
      </border>
    </odxf>
    <ndxf>
      <numFmt numFmtId="1" formatCode="0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582" sId="1" odxf="1" dxf="1">
    <nc r="D122">
      <f>SUM(B122/C122)</f>
    </nc>
    <odxf>
      <numFmt numFmtId="0" formatCode="General"/>
      <alignment horizontal="general" vertical="bottom" readingOrder="0"/>
      <border outline="0">
        <left/>
        <right/>
        <top/>
        <bottom/>
      </border>
    </odxf>
    <ndxf>
      <numFmt numFmtId="164" formatCode="#\ &quot;min&quot;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583" sId="1" odxf="1" dxf="1">
    <nc r="C123">
      <f>SUM((B122-B123)/((A123-A122)*86400)*60)</f>
    </nc>
    <odxf>
      <numFmt numFmtId="0" formatCode="General"/>
      <alignment horizontal="general" vertical="bottom" readingOrder="0"/>
      <border outline="0">
        <left/>
        <right/>
        <top/>
        <bottom/>
      </border>
    </odxf>
    <ndxf>
      <numFmt numFmtId="1" formatCode="0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584" sId="1" odxf="1" dxf="1">
    <nc r="D123">
      <f>SUM(B123/C123)</f>
    </nc>
    <odxf>
      <numFmt numFmtId="0" formatCode="General"/>
      <alignment horizontal="general" vertical="bottom" readingOrder="0"/>
      <border outline="0">
        <left/>
        <right/>
        <top/>
        <bottom/>
      </border>
    </odxf>
    <ndxf>
      <numFmt numFmtId="164" formatCode="#\ &quot;min&quot;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585" sId="1" odxf="1" dxf="1">
    <nc r="C124">
      <f>SUM((B123-B124)/((A124-A123)*86400)*60)</f>
    </nc>
    <odxf>
      <numFmt numFmtId="0" formatCode="General"/>
      <alignment horizontal="general" vertical="bottom" readingOrder="0"/>
      <border outline="0">
        <left/>
        <right/>
        <top/>
        <bottom/>
      </border>
    </odxf>
    <ndxf>
      <numFmt numFmtId="1" formatCode="0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586" sId="1" odxf="1" dxf="1">
    <nc r="D124">
      <f>SUM(B124/C124)</f>
    </nc>
    <odxf>
      <numFmt numFmtId="0" formatCode="General"/>
      <alignment horizontal="general" vertical="bottom" readingOrder="0"/>
      <border outline="0">
        <left/>
        <right/>
        <top/>
        <bottom/>
      </border>
    </odxf>
    <ndxf>
      <numFmt numFmtId="164" formatCode="#\ &quot;min&quot;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587" sId="1" odxf="1" dxf="1">
    <nc r="C125">
      <f>SUM((B124-B125)/((A125-A124)*86400)*60)</f>
    </nc>
    <odxf>
      <numFmt numFmtId="0" formatCode="General"/>
      <alignment horizontal="general" vertical="bottom" readingOrder="0"/>
      <border outline="0">
        <left/>
        <right/>
        <top/>
        <bottom/>
      </border>
    </odxf>
    <ndxf>
      <numFmt numFmtId="1" formatCode="0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588" sId="1" odxf="1" dxf="1">
    <nc r="D125">
      <f>SUM(B125/C125)</f>
    </nc>
    <odxf>
      <numFmt numFmtId="0" formatCode="General"/>
      <alignment horizontal="general" vertical="bottom" readingOrder="0"/>
      <border outline="0">
        <left/>
        <right/>
        <top/>
        <bottom/>
      </border>
    </odxf>
    <ndxf>
      <numFmt numFmtId="164" formatCode="#\ &quot;min&quot;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589" sId="1" odxf="1" dxf="1">
    <nc r="C126">
      <f>SUM((B125-B126)/((A126-A125)*86400)*60)</f>
    </nc>
    <odxf>
      <numFmt numFmtId="0" formatCode="General"/>
      <alignment horizontal="general" vertical="bottom" readingOrder="0"/>
      <border outline="0">
        <left/>
        <right/>
        <top/>
        <bottom/>
      </border>
    </odxf>
    <ndxf>
      <numFmt numFmtId="1" formatCode="0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590" sId="1" odxf="1" dxf="1">
    <nc r="D126">
      <f>SUM(B126/C126)</f>
    </nc>
    <odxf>
      <numFmt numFmtId="0" formatCode="General"/>
      <alignment horizontal="general" vertical="bottom" readingOrder="0"/>
      <border outline="0">
        <left/>
        <right/>
        <top/>
        <bottom/>
      </border>
    </odxf>
    <ndxf>
      <numFmt numFmtId="164" formatCode="#\ &quot;min&quot;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591" sId="1" odxf="1" dxf="1">
    <nc r="C127">
      <f>SUM((B126-B127)/((A127-A126)*86400)*60)</f>
    </nc>
    <odxf>
      <numFmt numFmtId="0" formatCode="General"/>
      <alignment horizontal="general" vertical="bottom" readingOrder="0"/>
      <border outline="0">
        <left/>
        <right/>
        <top/>
        <bottom/>
      </border>
    </odxf>
    <ndxf>
      <numFmt numFmtId="1" formatCode="0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592" sId="1" odxf="1" dxf="1">
    <nc r="D127">
      <f>SUM(B127/C127)</f>
    </nc>
    <odxf>
      <numFmt numFmtId="0" formatCode="General"/>
      <alignment horizontal="general" vertical="bottom" readingOrder="0"/>
      <border outline="0">
        <left/>
        <right/>
        <top/>
        <bottom/>
      </border>
    </odxf>
    <ndxf>
      <numFmt numFmtId="164" formatCode="#\ &quot;min&quot;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593" sId="1" odxf="1" dxf="1">
    <nc r="C128">
      <f>SUM((B127-B128)/((A128-A127)*86400)*60)</f>
    </nc>
    <odxf>
      <numFmt numFmtId="0" formatCode="General"/>
      <alignment horizontal="general" vertical="bottom" readingOrder="0"/>
      <border outline="0">
        <left/>
        <right/>
        <top/>
        <bottom/>
      </border>
    </odxf>
    <ndxf>
      <numFmt numFmtId="1" formatCode="0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594" sId="1" odxf="1" dxf="1">
    <nc r="D128">
      <f>SUM(B128/C128)</f>
    </nc>
    <odxf>
      <numFmt numFmtId="0" formatCode="General"/>
      <alignment horizontal="general" vertical="bottom" readingOrder="0"/>
      <border outline="0">
        <left/>
        <right/>
        <top/>
        <bottom/>
      </border>
    </odxf>
    <ndxf>
      <numFmt numFmtId="164" formatCode="#\ &quot;min&quot;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595" sId="1" odxf="1" dxf="1">
    <nc r="C129">
      <f>SUM((B128-B129)/((A129-A128)*86400)*60)</f>
    </nc>
    <odxf>
      <numFmt numFmtId="0" formatCode="General"/>
      <alignment horizontal="general" vertical="bottom" readingOrder="0"/>
      <border outline="0">
        <left/>
        <right/>
        <top/>
        <bottom/>
      </border>
    </odxf>
    <ndxf>
      <numFmt numFmtId="1" formatCode="0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596" sId="1" odxf="1" dxf="1">
    <nc r="D129">
      <f>SUM(B129/C129)</f>
    </nc>
    <odxf>
      <numFmt numFmtId="0" formatCode="General"/>
      <alignment horizontal="general" vertical="bottom" readingOrder="0"/>
      <border outline="0">
        <left/>
        <right/>
        <top/>
        <bottom/>
      </border>
    </odxf>
    <ndxf>
      <numFmt numFmtId="164" formatCode="#\ &quot;min&quot;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597" sId="1" odxf="1" dxf="1">
    <nc r="C130">
      <f>SUM((B129-B130)/((A130-A129)*86400)*60)</f>
    </nc>
    <odxf>
      <numFmt numFmtId="0" formatCode="General"/>
      <alignment horizontal="general" vertical="bottom" readingOrder="0"/>
      <border outline="0">
        <left/>
        <right/>
        <top/>
        <bottom/>
      </border>
    </odxf>
    <ndxf>
      <numFmt numFmtId="1" formatCode="0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598" sId="1" odxf="1" dxf="1">
    <nc r="D130">
      <f>SUM(B130/C130)</f>
    </nc>
    <odxf>
      <numFmt numFmtId="0" formatCode="General"/>
      <alignment horizontal="general" vertical="bottom" readingOrder="0"/>
      <border outline="0">
        <left/>
        <right/>
        <top/>
        <bottom/>
      </border>
    </odxf>
    <ndxf>
      <numFmt numFmtId="164" formatCode="#\ &quot;min&quot;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599" sId="1" odxf="1" dxf="1">
    <nc r="C131">
      <f>SUM((B130-B131)/((A131-A130)*86400)*60)</f>
    </nc>
    <odxf>
      <numFmt numFmtId="0" formatCode="General"/>
      <alignment horizontal="general" vertical="bottom" readingOrder="0"/>
      <border outline="0">
        <left/>
        <right/>
        <top/>
        <bottom/>
      </border>
    </odxf>
    <ndxf>
      <numFmt numFmtId="1" formatCode="0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600" sId="1" odxf="1" dxf="1">
    <nc r="D131">
      <f>SUM(B131/C131)</f>
    </nc>
    <odxf>
      <numFmt numFmtId="0" formatCode="General"/>
      <alignment horizontal="general" vertical="bottom" readingOrder="0"/>
      <border outline="0">
        <left/>
        <right/>
        <top/>
        <bottom/>
      </border>
    </odxf>
    <ndxf>
      <numFmt numFmtId="164" formatCode="#\ &quot;min&quot;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601" sId="1" odxf="1" dxf="1">
    <nc r="C132">
      <f>SUM((B131-B132)/((A132-A131)*86400)*60)</f>
    </nc>
    <odxf>
      <numFmt numFmtId="0" formatCode="General"/>
      <alignment horizontal="general" vertical="bottom" readingOrder="0"/>
      <border outline="0">
        <left/>
        <right/>
        <top/>
        <bottom/>
      </border>
    </odxf>
    <ndxf>
      <numFmt numFmtId="1" formatCode="0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602" sId="1" odxf="1" dxf="1">
    <nc r="D132">
      <f>SUM(B132/C132)</f>
    </nc>
    <odxf>
      <numFmt numFmtId="0" formatCode="General"/>
      <alignment horizontal="general" vertical="bottom" readingOrder="0"/>
      <border outline="0">
        <left/>
        <right/>
        <top/>
        <bottom/>
      </border>
    </odxf>
    <ndxf>
      <numFmt numFmtId="164" formatCode="#\ &quot;min&quot;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603" sId="1" odxf="1" dxf="1">
    <nc r="C133">
      <f>SUM((B132-B133)/((A133-A132)*86400)*60)</f>
    </nc>
    <odxf>
      <numFmt numFmtId="0" formatCode="General"/>
      <alignment horizontal="general" vertical="bottom" readingOrder="0"/>
      <border outline="0">
        <left/>
        <right/>
        <top/>
        <bottom/>
      </border>
    </odxf>
    <ndxf>
      <numFmt numFmtId="1" formatCode="0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604" sId="1" odxf="1" dxf="1">
    <nc r="D133">
      <f>SUM(B133/C133)</f>
    </nc>
    <odxf>
      <numFmt numFmtId="0" formatCode="General"/>
      <alignment horizontal="general" vertical="bottom" readingOrder="0"/>
      <border outline="0">
        <left/>
        <right/>
        <top/>
        <bottom/>
      </border>
    </odxf>
    <ndxf>
      <numFmt numFmtId="164" formatCode="#\ &quot;min&quot;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605" sId="1" odxf="1" dxf="1">
    <nc r="C134">
      <f>SUM((B133-B134)/((A134-A133)*86400)*60)</f>
    </nc>
    <odxf>
      <numFmt numFmtId="0" formatCode="General"/>
      <alignment horizontal="general" vertical="bottom" readingOrder="0"/>
      <border outline="0">
        <left/>
        <right/>
        <top/>
        <bottom/>
      </border>
    </odxf>
    <ndxf>
      <numFmt numFmtId="1" formatCode="0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606" sId="1" odxf="1" dxf="1">
    <nc r="D134">
      <f>SUM(B134/C134)</f>
    </nc>
    <odxf>
      <numFmt numFmtId="0" formatCode="General"/>
      <alignment horizontal="general" vertical="bottom" readingOrder="0"/>
      <border outline="0">
        <left/>
        <right/>
        <top/>
        <bottom/>
      </border>
    </odxf>
    <ndxf>
      <numFmt numFmtId="164" formatCode="#\ &quot;min&quot;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607" sId="1" odxf="1" dxf="1">
    <nc r="C135">
      <f>SUM((B134-B135)/((A135-A134)*86400)*60)</f>
    </nc>
    <odxf>
      <numFmt numFmtId="0" formatCode="General"/>
      <alignment horizontal="general" vertical="bottom" readingOrder="0"/>
      <border outline="0">
        <left/>
        <right/>
        <top/>
        <bottom/>
      </border>
    </odxf>
    <ndxf>
      <numFmt numFmtId="1" formatCode="0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608" sId="1" odxf="1" dxf="1">
    <nc r="D135">
      <f>SUM(B135/C135)</f>
    </nc>
    <odxf>
      <numFmt numFmtId="0" formatCode="General"/>
      <alignment horizontal="general" vertical="bottom" readingOrder="0"/>
      <border outline="0">
        <left/>
        <right/>
        <top/>
        <bottom/>
      </border>
    </odxf>
    <ndxf>
      <numFmt numFmtId="164" formatCode="#\ &quot;min&quot;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609" sId="1" odxf="1" dxf="1">
    <nc r="C136">
      <f>SUM((B135-B136)/((A136-A135)*86400)*60)</f>
    </nc>
    <odxf>
      <numFmt numFmtId="0" formatCode="General"/>
      <alignment horizontal="general" vertical="bottom" readingOrder="0"/>
      <border outline="0">
        <left/>
        <right/>
        <top/>
        <bottom/>
      </border>
    </odxf>
    <ndxf>
      <numFmt numFmtId="1" formatCode="0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610" sId="1" odxf="1" dxf="1">
    <nc r="D136">
      <f>SUM(B136/C136)</f>
    </nc>
    <odxf>
      <numFmt numFmtId="0" formatCode="General"/>
      <alignment horizontal="general" vertical="bottom" readingOrder="0"/>
      <border outline="0">
        <left/>
        <right/>
        <top/>
        <bottom/>
      </border>
    </odxf>
    <ndxf>
      <numFmt numFmtId="164" formatCode="#\ &quot;min&quot;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611" sId="1" odxf="1" dxf="1">
    <nc r="C137">
      <f>SUM((B136-B137)/((A137-A136)*86400)*60)</f>
    </nc>
    <odxf>
      <numFmt numFmtId="0" formatCode="General"/>
      <alignment horizontal="general" vertical="bottom" readingOrder="0"/>
      <border outline="0">
        <left/>
        <right/>
        <top/>
        <bottom/>
      </border>
    </odxf>
    <ndxf>
      <numFmt numFmtId="1" formatCode="0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612" sId="1" odxf="1" dxf="1">
    <nc r="D137">
      <f>SUM(B137/C137)</f>
    </nc>
    <odxf>
      <numFmt numFmtId="0" formatCode="General"/>
      <alignment horizontal="general" vertical="bottom" readingOrder="0"/>
      <border outline="0">
        <left/>
        <right/>
        <top/>
        <bottom/>
      </border>
    </odxf>
    <ndxf>
      <numFmt numFmtId="164" formatCode="#\ &quot;min&quot;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613" sId="1" odxf="1" dxf="1">
    <nc r="C138">
      <f>SUM((B137-B138)/((A138-A137)*86400)*60)</f>
    </nc>
    <odxf>
      <numFmt numFmtId="0" formatCode="General"/>
      <alignment horizontal="general" vertical="bottom" readingOrder="0"/>
      <border outline="0">
        <left/>
        <right/>
        <top/>
        <bottom/>
      </border>
    </odxf>
    <ndxf>
      <numFmt numFmtId="1" formatCode="0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614" sId="1" odxf="1" dxf="1">
    <nc r="D138">
      <f>SUM(B138/C138)</f>
    </nc>
    <odxf>
      <numFmt numFmtId="0" formatCode="General"/>
      <alignment horizontal="general" vertical="bottom" readingOrder="0"/>
      <border outline="0">
        <left/>
        <right/>
        <top/>
        <bottom/>
      </border>
    </odxf>
    <ndxf>
      <numFmt numFmtId="164" formatCode="#\ &quot;min&quot;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fmt sheetId="1" sqref="A9:A138" start="0" length="0">
    <dxf>
      <border>
        <left style="thin">
          <color indexed="64"/>
        </left>
      </border>
    </dxf>
  </rfmt>
  <rfmt sheetId="1" sqref="A138:B138" start="0" length="0">
    <dxf>
      <border>
        <bottom style="thin">
          <color indexed="64"/>
        </bottom>
      </border>
    </dxf>
  </rfmt>
  <rfmt sheetId="1" sqref="A1:A1048576">
    <dxf>
      <alignment horizontal="general" readingOrder="0"/>
    </dxf>
  </rfmt>
  <rfmt sheetId="1" sqref="A1:A1048576">
    <dxf>
      <alignment horizontal="center" readingOrder="0"/>
    </dxf>
  </rfmt>
</revisions>
</file>

<file path=xl/revisions/revisionLog35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615" sId="1" odxf="1" dxf="1" numFmtId="26">
    <nc r="A166">
      <v>0.82212962962962965</v>
    </nc>
    <odxf>
      <numFmt numFmtId="0" formatCode="General"/>
    </odxf>
    <ndxf>
      <numFmt numFmtId="26" formatCode="hh:mm:ss"/>
    </ndxf>
  </rcc>
  <rcc rId="1616" sId="1">
    <nc r="B166">
      <v>284</v>
    </nc>
  </rcc>
</revisions>
</file>

<file path=xl/revisions/revisionLog35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617" sId="1" odxf="1" dxf="1" numFmtId="26">
    <nc r="A167">
      <v>0.82233796296296291</v>
    </nc>
    <odxf>
      <numFmt numFmtId="0" formatCode="General"/>
    </odxf>
    <ndxf>
      <numFmt numFmtId="26" formatCode="hh:mm:ss"/>
    </ndxf>
  </rcc>
  <rcc rId="1618" sId="1">
    <nc r="B167">
      <v>253</v>
    </nc>
  </rcc>
</revisions>
</file>

<file path=xl/revisions/revisionLog35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619" sId="1" odxf="1" dxf="1" numFmtId="26">
    <nc r="A168">
      <v>0.82267361111111104</v>
    </nc>
    <odxf>
      <numFmt numFmtId="0" formatCode="General"/>
    </odxf>
    <ndxf>
      <numFmt numFmtId="26" formatCode="hh:mm:ss"/>
    </ndxf>
  </rcc>
  <rcc rId="1620" sId="1">
    <nc r="B168">
      <v>203</v>
    </nc>
  </rcc>
</revisions>
</file>

<file path=xl/revisions/revisionLog35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621" sId="1" odxf="1" dxf="1" numFmtId="26">
    <nc r="A169">
      <v>0.82300925925925927</v>
    </nc>
    <odxf>
      <numFmt numFmtId="0" formatCode="General"/>
    </odxf>
    <ndxf>
      <numFmt numFmtId="26" formatCode="hh:mm:ss"/>
    </ndxf>
  </rcc>
  <rcc rId="1622" sId="1">
    <nc r="B169">
      <v>178</v>
    </nc>
  </rcc>
</revisions>
</file>

<file path=xl/revisions/revisionLog35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623" sId="1" odxf="1" dxf="1" numFmtId="26">
    <nc r="A170">
      <v>0.82315972222222233</v>
    </nc>
    <odxf>
      <numFmt numFmtId="0" formatCode="General"/>
    </odxf>
    <ndxf>
      <numFmt numFmtId="26" formatCode="hh:mm:ss"/>
    </ndxf>
  </rcc>
  <rcc rId="1624" sId="1">
    <nc r="B170">
      <v>152</v>
    </nc>
  </rcc>
</revisions>
</file>

<file path=xl/revisions/revisionLog35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625" sId="1" odxf="1" dxf="1" numFmtId="26">
    <nc r="A171">
      <v>0.82343749999999993</v>
    </nc>
    <odxf>
      <numFmt numFmtId="0" formatCode="General"/>
    </odxf>
    <ndxf>
      <numFmt numFmtId="26" formatCode="hh:mm:ss"/>
    </ndxf>
  </rcc>
  <rcc rId="1626" sId="1">
    <nc r="B171">
      <v>110</v>
    </nc>
  </rcc>
</revisions>
</file>

<file path=xl/revisions/revisionLog35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627" sId="1">
    <oc r="C42">
      <f>SUM((#REF!-B42)/((A42-#REF!)*86400)*60)</f>
    </oc>
    <nc r="C42">
      <f>SUM((B41-B42)/((A42-A41)*86400)*60)</f>
    </nc>
  </rcc>
  <rcc rId="1628" sId="1">
    <oc r="C43">
      <f>SUM((#REF!-B43)/((A43-#REF!)*86400)*60)</f>
    </oc>
    <nc r="C43">
      <f>SUM((B42-B43)/((A43-A42)*86400)*60)</f>
    </nc>
  </rcc>
  <rcc rId="1629" sId="1">
    <oc r="C44">
      <f>SUM((#REF!-B44)/((A44-#REF!)*86400)*60)</f>
    </oc>
    <nc r="C44">
      <f>SUM((B43-B44)/((A44-A43)*86400)*60)</f>
    </nc>
  </rcc>
  <rcc rId="1630" sId="1">
    <oc r="C45">
      <f>SUM((B44-B45)/((A45-A44)*86400)*60)</f>
    </oc>
    <nc r="C45">
      <f>SUM((B44-B45)/((A45-A44)*86400)*60)</f>
    </nc>
  </rcc>
  <rcc rId="1631" sId="1">
    <oc r="C46">
      <f>SUM((B45-B46)/((A46-A45)*86400)*60)</f>
    </oc>
    <nc r="C46">
      <f>SUM((B45-B46)/((A46-A45)*86400)*60)</f>
    </nc>
  </rcc>
  <rcc rId="1632" sId="1">
    <oc r="C47">
      <f>SUM((B46-B47)/((A47-A46)*86400)*60)</f>
    </oc>
    <nc r="C47">
      <f>SUM((B46-B47)/((A47-A46)*86400)*60)</f>
    </nc>
  </rcc>
  <rcc rId="1633" sId="1">
    <oc r="C48">
      <f>SUM((B47-B48)/((A48-A47)*86400)*60)</f>
    </oc>
    <nc r="C48">
      <f>SUM((B47-B48)/((A48-A47)*86400)*60)</f>
    </nc>
  </rcc>
  <rcc rId="1634" sId="1">
    <oc r="C49">
      <f>SUM((#REF!-B49)/((A49-#REF!)*86400)*60)</f>
    </oc>
    <nc r="C49">
      <f>SUM((B48-B49)/((A49-A48)*86400)*60)</f>
    </nc>
  </rcc>
  <rrc rId="1635" sId="1" ref="A107:XFD107" action="deleteRow">
    <undo index="5" exp="ref" v="1" dr="A107" r="C108" sId="1"/>
    <undo index="0" exp="ref" v="1" dr="B107" r="C108" sId="1"/>
    <rfmt sheetId="1" xfDxf="1" sqref="A107:XFD107" start="0" length="0"/>
    <rcc rId="0" sId="1" dxf="1" numFmtId="26">
      <nc r="A107">
        <v>0.81187500000000001</v>
      </nc>
      <ndxf>
        <numFmt numFmtId="26" formatCode="hh:mm:ss"/>
        <alignment horizontal="center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B107">
        <v>911375</v>
      </nc>
      <ndxf>
        <alignment horizontal="center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C107">
        <f>SUM((B106-B107)/((A107-A106)*86400)*60)</f>
      </nc>
      <ndxf>
        <numFmt numFmtId="1" formatCode="0"/>
        <alignment horizontal="center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1" dxf="1">
      <nc r="D107">
        <f>SUM(B107/C107)</f>
      </nc>
      <ndxf>
        <numFmt numFmtId="164" formatCode="#\ &quot;min&quot;"/>
        <alignment horizontal="center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</rrc>
  <rm rId="1636" sheetId="1" source="C106" destination="C108" sourceSheetId="1">
    <undo index="1" exp="ref" v="1" dr="C108" r="D108" sId="1"/>
    <rcc rId="0" sId="1" dxf="1">
      <nc r="C108">
        <f>SUM((B107-B108)/((A108-A107)*86400)*60)</f>
      </nc>
      <ndxf>
        <numFmt numFmtId="1" formatCode="0"/>
        <alignment horizontal="center" vertical="top" readingOrder="0"/>
        <border outline="0">
          <left style="thin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</rm>
  <rcc rId="1637" sId="1" odxf="1" dxf="1">
    <nc r="C106">
      <f>SUM((B103-B104)/((A104-A103)*86400)*60)</f>
    </nc>
    <odxf>
      <numFmt numFmtId="0" formatCode="General"/>
      <alignment horizontal="general" vertical="bottom" readingOrder="0"/>
      <border outline="0">
        <left/>
        <right/>
        <top/>
        <bottom/>
      </border>
    </odxf>
    <ndxf>
      <numFmt numFmtId="1" formatCode="0"/>
      <alignment horizontal="center" vertical="top" readingOrder="0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1638" sId="1">
    <oc r="C107">
      <f>SUM((#REF!-B107)/((A107-#REF!)*86400)*60)</f>
    </oc>
    <nc r="C107">
      <f>SUM((B104-B105)/((A105-A104)*86400)*60)</f>
    </nc>
  </rcc>
  <rcc rId="1639" sId="1">
    <oc r="D108">
      <f>SUM(B108/#REF!)</f>
    </oc>
    <nc r="D108">
      <f>SUM(B108/C108)</f>
    </nc>
  </rcc>
  <rcv guid="{BCD8CDF1-28A7-48ED-B459-CC2754282EBB}" action="delete"/>
  <rcv guid="{BCD8CDF1-28A7-48ED-B459-CC2754282EBB}" action="add"/>
</revisions>
</file>

<file path=xl/revisions/revisionLog35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640" sId="1" odxf="1" dxf="1" numFmtId="26">
    <nc r="A172">
      <v>0.82377314814814817</v>
    </nc>
    <odxf>
      <numFmt numFmtId="0" formatCode="General"/>
    </odxf>
    <ndxf>
      <numFmt numFmtId="26" formatCode="hh:mm:ss"/>
    </ndxf>
  </rcc>
  <rcc rId="1641" sId="1">
    <nc r="B172">
      <v>76</v>
    </nc>
  </rcc>
</revisions>
</file>

<file path=xl/revisions/revisionLog35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642" sId="1" odxf="1" dxf="1" numFmtId="26">
    <nc r="A173">
      <v>0.82405092592592588</v>
    </nc>
    <odxf>
      <numFmt numFmtId="0" formatCode="General"/>
    </odxf>
    <ndxf>
      <numFmt numFmtId="26" formatCode="hh:mm:ss"/>
    </ndxf>
  </rcc>
  <rcc rId="1643" sId="1">
    <nc r="B173">
      <v>17</v>
    </nc>
  </rcc>
</revisions>
</file>

<file path=xl/revisions/userNames.xml><?xml version="1.0" encoding="utf-8"?>
<user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 count="5">
  <userInfo guid="{74C1CD6F-3A29-438F-9DCD-4B9D46F656CD}" name="Marcel Riesenbeck" id="-798469069" dateTime="2021-10-02T23:34:57"/>
  <userInfo guid="{BF36F09E-E0F4-4656-B6D8-47E1FB504078}" name="Marcel Riesenbeck" id="-798463529" dateTime="2022-02-12T18:22:13"/>
  <userInfo guid="{DC89673B-D712-4E60-8575-CCD87BDABD2D}" name="Marcel Riesenbeck" id="-798453333" dateTime="2022-02-12T18:24:56"/>
  <userInfo guid="{B7CD5E92-1DBA-4B44-B67F-48E25CCD6C3E}" name="Marcel Riesenbeck" id="-798425596" dateTime="2022-02-12T18:32:20"/>
  <userInfo guid="{5ABDC571-668E-4D97-9005-46EEC812A720}" name="Marcel Riesenbeck" id="-798430194" dateTime="2022-09-05T08:37:41"/>
</user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1:P173"/>
  <sheetViews>
    <sheetView tabSelected="1" workbookViewId="0">
      <selection activeCell="F108" sqref="F108"/>
    </sheetView>
  </sheetViews>
  <sheetFormatPr baseColWidth="10" defaultRowHeight="15" x14ac:dyDescent="0.25"/>
  <cols>
    <col min="1" max="1" width="11.42578125" style="8"/>
    <col min="2" max="2" width="14.28515625" style="8" bestFit="1" customWidth="1"/>
    <col min="6" max="6" width="15.7109375" customWidth="1"/>
    <col min="7" max="7" width="6.85546875" bestFit="1" customWidth="1"/>
    <col min="16" max="16" width="22" customWidth="1"/>
  </cols>
  <sheetData>
    <row r="1" spans="1:16" x14ac:dyDescent="0.25">
      <c r="A1" s="1" t="s">
        <v>0</v>
      </c>
      <c r="B1" s="1" t="s">
        <v>3</v>
      </c>
      <c r="C1" s="1" t="s">
        <v>1</v>
      </c>
      <c r="D1" s="2" t="s">
        <v>2</v>
      </c>
    </row>
    <row r="2" spans="1:16" x14ac:dyDescent="0.25">
      <c r="A2" s="7">
        <v>0.77589120370370368</v>
      </c>
      <c r="B2" s="3">
        <v>6982</v>
      </c>
      <c r="C2" s="4"/>
      <c r="D2" s="5"/>
      <c r="P2" s="6"/>
    </row>
    <row r="3" spans="1:16" x14ac:dyDescent="0.25">
      <c r="A3" s="7">
        <v>0.7766319444444445</v>
      </c>
      <c r="B3" s="3">
        <v>6862</v>
      </c>
      <c r="C3" s="4">
        <f>SUM((B2-B3)/((A3-A2)*86400)*60)</f>
        <v>112.49999999998803</v>
      </c>
      <c r="D3" s="5">
        <f>SUM(B3/C3)</f>
        <v>60.995555555562042</v>
      </c>
    </row>
    <row r="4" spans="1:16" x14ac:dyDescent="0.25">
      <c r="A4" s="7">
        <v>0.77756944444444442</v>
      </c>
      <c r="B4" s="3">
        <v>6735</v>
      </c>
      <c r="C4" s="4">
        <f t="shared" ref="C4:C55" si="0">SUM((B3-B4)/((A4-A3)*86400)*60)</f>
        <v>94.074074074081651</v>
      </c>
      <c r="D4" s="5">
        <f t="shared" ref="D4:D55" si="1">SUM(B4/C4)</f>
        <v>71.592519685033608</v>
      </c>
    </row>
    <row r="5" spans="1:16" x14ac:dyDescent="0.25">
      <c r="A5" s="7">
        <v>0.77781250000000002</v>
      </c>
      <c r="B5" s="3">
        <v>6701</v>
      </c>
      <c r="C5" s="4">
        <f t="shared" si="0"/>
        <v>97.142857142841962</v>
      </c>
      <c r="D5" s="5">
        <f t="shared" si="1"/>
        <v>68.980882352951951</v>
      </c>
    </row>
    <row r="6" spans="1:16" x14ac:dyDescent="0.25">
      <c r="A6" s="7">
        <v>0.77806712962962965</v>
      </c>
      <c r="B6" s="3">
        <v>6674</v>
      </c>
      <c r="C6" s="4">
        <f t="shared" si="0"/>
        <v>73.63636363636283</v>
      </c>
      <c r="D6" s="5">
        <f t="shared" si="1"/>
        <v>90.634567901235556</v>
      </c>
    </row>
    <row r="7" spans="1:16" x14ac:dyDescent="0.25">
      <c r="A7" s="7">
        <v>0.77818287037037026</v>
      </c>
      <c r="B7" s="3">
        <v>6639</v>
      </c>
      <c r="C7" s="4">
        <f t="shared" si="0"/>
        <v>210.00000000023576</v>
      </c>
      <c r="D7" s="5">
        <f t="shared" si="1"/>
        <v>31.614285714250222</v>
      </c>
    </row>
    <row r="8" spans="1:16" x14ac:dyDescent="0.25">
      <c r="A8" s="7">
        <v>0.77849537037037031</v>
      </c>
      <c r="B8" s="3">
        <v>6602</v>
      </c>
      <c r="C8" s="4">
        <f t="shared" si="0"/>
        <v>82.222222222209368</v>
      </c>
      <c r="D8" s="5">
        <f t="shared" si="1"/>
        <v>80.294594594607148</v>
      </c>
    </row>
    <row r="9" spans="1:16" x14ac:dyDescent="0.25">
      <c r="A9" s="7">
        <v>0.77866898148148145</v>
      </c>
      <c r="B9" s="3">
        <v>6564</v>
      </c>
      <c r="C9" s="4">
        <f t="shared" si="0"/>
        <v>151.99999999997624</v>
      </c>
      <c r="D9" s="5">
        <f t="shared" si="1"/>
        <v>43.184210526322538</v>
      </c>
    </row>
    <row r="10" spans="1:16" x14ac:dyDescent="0.25">
      <c r="A10" s="7">
        <v>0.77892361111111119</v>
      </c>
      <c r="B10" s="3">
        <v>6545</v>
      </c>
      <c r="C10" s="4">
        <f t="shared" si="0"/>
        <v>51.818181818158656</v>
      </c>
      <c r="D10" s="5">
        <f t="shared" si="1"/>
        <v>126.3070175439161</v>
      </c>
    </row>
    <row r="11" spans="1:16" x14ac:dyDescent="0.25">
      <c r="A11" s="7">
        <v>0.7794212962962962</v>
      </c>
      <c r="B11" s="3">
        <v>6480</v>
      </c>
      <c r="C11" s="4">
        <f t="shared" si="0"/>
        <v>90.697674418637675</v>
      </c>
      <c r="D11" s="5">
        <f t="shared" si="1"/>
        <v>71.446153846127828</v>
      </c>
    </row>
    <row r="12" spans="1:16" x14ac:dyDescent="0.25">
      <c r="A12" s="7">
        <v>0.77960648148148148</v>
      </c>
      <c r="B12" s="3">
        <v>6443</v>
      </c>
      <c r="C12" s="4">
        <f t="shared" si="0"/>
        <v>138.74999999992286</v>
      </c>
      <c r="D12" s="5">
        <f t="shared" si="1"/>
        <v>46.43603603606185</v>
      </c>
    </row>
    <row r="13" spans="1:16" x14ac:dyDescent="0.25">
      <c r="A13" s="7">
        <v>0.77991898148148142</v>
      </c>
      <c r="B13" s="3">
        <v>6408</v>
      </c>
      <c r="C13" s="4">
        <f t="shared" si="0"/>
        <v>77.777777777793261</v>
      </c>
      <c r="D13" s="5">
        <f t="shared" si="1"/>
        <v>82.388571428555025</v>
      </c>
    </row>
    <row r="14" spans="1:16" x14ac:dyDescent="0.25">
      <c r="A14" s="7">
        <v>0.78004629629629629</v>
      </c>
      <c r="B14" s="3">
        <v>6361</v>
      </c>
      <c r="C14" s="4">
        <f t="shared" si="0"/>
        <v>256.36363636352178</v>
      </c>
      <c r="D14" s="5">
        <f t="shared" si="1"/>
        <v>24.812411347528819</v>
      </c>
    </row>
    <row r="15" spans="1:16" x14ac:dyDescent="0.25">
      <c r="A15" s="7">
        <v>0.78030092592592604</v>
      </c>
      <c r="B15" s="3">
        <v>6333</v>
      </c>
      <c r="C15" s="4">
        <f t="shared" si="0"/>
        <v>76.363636363602225</v>
      </c>
      <c r="D15" s="5">
        <f t="shared" si="1"/>
        <v>82.932142857179926</v>
      </c>
    </row>
    <row r="16" spans="1:16" x14ac:dyDescent="0.25">
      <c r="A16" s="7">
        <v>0.78061342592592586</v>
      </c>
      <c r="B16" s="3">
        <v>6306</v>
      </c>
      <c r="C16" s="4">
        <f t="shared" si="0"/>
        <v>60.000000000033253</v>
      </c>
      <c r="D16" s="5">
        <f t="shared" si="1"/>
        <v>105.09999999994176</v>
      </c>
    </row>
    <row r="17" spans="1:4" x14ac:dyDescent="0.25">
      <c r="A17" s="7">
        <v>0.78079861111111104</v>
      </c>
      <c r="B17" s="3">
        <v>6270</v>
      </c>
      <c r="C17" s="4">
        <f t="shared" si="0"/>
        <v>135.00000000000588</v>
      </c>
      <c r="D17" s="5">
        <f t="shared" si="1"/>
        <v>46.444444444442418</v>
      </c>
    </row>
    <row r="18" spans="1:4" x14ac:dyDescent="0.25">
      <c r="A18" s="7">
        <v>0.78098379629629633</v>
      </c>
      <c r="B18" s="3">
        <v>6242</v>
      </c>
      <c r="C18" s="4">
        <f t="shared" si="0"/>
        <v>104.99999999994162</v>
      </c>
      <c r="D18" s="5">
        <f t="shared" si="1"/>
        <v>59.447619047652097</v>
      </c>
    </row>
    <row r="19" spans="1:4" x14ac:dyDescent="0.25">
      <c r="A19" s="7">
        <v>0.78218750000000004</v>
      </c>
      <c r="B19" s="3">
        <v>6070</v>
      </c>
      <c r="C19" s="4">
        <f t="shared" si="0"/>
        <v>99.230769230768971</v>
      </c>
      <c r="D19" s="5">
        <f t="shared" si="1"/>
        <v>61.170542635659075</v>
      </c>
    </row>
    <row r="20" spans="1:4" x14ac:dyDescent="0.25">
      <c r="A20" s="7">
        <v>0.78243055555555552</v>
      </c>
      <c r="B20" s="3">
        <v>6035</v>
      </c>
      <c r="C20" s="4">
        <f t="shared" si="0"/>
        <v>100.00000000003004</v>
      </c>
      <c r="D20" s="5">
        <f t="shared" si="1"/>
        <v>60.349999999981868</v>
      </c>
    </row>
    <row r="21" spans="1:4" x14ac:dyDescent="0.25">
      <c r="A21" s="7">
        <v>0.78355324074074073</v>
      </c>
      <c r="B21" s="3">
        <v>5845</v>
      </c>
      <c r="C21" s="4">
        <f t="shared" si="0"/>
        <v>117.52577319587343</v>
      </c>
      <c r="D21" s="5">
        <f t="shared" si="1"/>
        <v>49.733771929825771</v>
      </c>
    </row>
    <row r="22" spans="1:4" x14ac:dyDescent="0.25">
      <c r="A22" s="7">
        <v>0.7840625</v>
      </c>
      <c r="B22" s="3">
        <v>5769</v>
      </c>
      <c r="C22" s="4">
        <f t="shared" si="0"/>
        <v>103.63636363636249</v>
      </c>
      <c r="D22" s="5">
        <f t="shared" si="1"/>
        <v>55.665789473684825</v>
      </c>
    </row>
    <row r="23" spans="1:4" x14ac:dyDescent="0.25">
      <c r="A23" s="7">
        <v>0.78449074074074077</v>
      </c>
      <c r="B23" s="3">
        <v>5702</v>
      </c>
      <c r="C23" s="4">
        <f t="shared" si="0"/>
        <v>108.64864864864106</v>
      </c>
      <c r="D23" s="5">
        <f t="shared" si="1"/>
        <v>52.481094527366849</v>
      </c>
    </row>
    <row r="24" spans="1:4" x14ac:dyDescent="0.25">
      <c r="A24" s="7">
        <v>0.78481481481481474</v>
      </c>
      <c r="B24" s="3">
        <v>5656</v>
      </c>
      <c r="C24" s="4">
        <f t="shared" si="0"/>
        <v>98.571428571458185</v>
      </c>
      <c r="D24" s="5">
        <f t="shared" si="1"/>
        <v>57.379710144910298</v>
      </c>
    </row>
    <row r="25" spans="1:4" x14ac:dyDescent="0.25">
      <c r="A25" s="7">
        <v>0.78494212962962961</v>
      </c>
      <c r="B25" s="3">
        <v>5622</v>
      </c>
      <c r="C25" s="4">
        <f t="shared" si="0"/>
        <v>185.45454545446256</v>
      </c>
      <c r="D25" s="5">
        <f t="shared" si="1"/>
        <v>30.314705882366493</v>
      </c>
    </row>
    <row r="26" spans="1:4" x14ac:dyDescent="0.25">
      <c r="A26" s="7">
        <v>0.78525462962962955</v>
      </c>
      <c r="B26" s="3">
        <v>5593</v>
      </c>
      <c r="C26" s="4">
        <f t="shared" si="0"/>
        <v>64.444444444457261</v>
      </c>
      <c r="D26" s="5">
        <f t="shared" si="1"/>
        <v>86.787931034465501</v>
      </c>
    </row>
    <row r="27" spans="1:4" x14ac:dyDescent="0.25">
      <c r="A27" s="7">
        <v>0.78537037037037039</v>
      </c>
      <c r="B27" s="3">
        <v>5572</v>
      </c>
      <c r="C27" s="4">
        <f t="shared" si="0"/>
        <v>125.99999999989974</v>
      </c>
      <c r="D27" s="5">
        <f t="shared" si="1"/>
        <v>44.222222222257408</v>
      </c>
    </row>
    <row r="28" spans="1:4" x14ac:dyDescent="0.25">
      <c r="A28" s="7">
        <v>0.78562500000000002</v>
      </c>
      <c r="B28" s="3">
        <v>5542</v>
      </c>
      <c r="C28" s="4">
        <f t="shared" si="0"/>
        <v>81.818181818180918</v>
      </c>
      <c r="D28" s="5">
        <f t="shared" si="1"/>
        <v>67.735555555556303</v>
      </c>
    </row>
    <row r="29" spans="1:4" x14ac:dyDescent="0.25">
      <c r="A29" s="7">
        <v>0.78587962962962965</v>
      </c>
      <c r="B29" s="3">
        <v>5506</v>
      </c>
      <c r="C29" s="4">
        <f t="shared" si="0"/>
        <v>98.181818181817107</v>
      </c>
      <c r="D29" s="5">
        <f t="shared" si="1"/>
        <v>56.07962962963024</v>
      </c>
    </row>
    <row r="30" spans="1:4" x14ac:dyDescent="0.25">
      <c r="A30" s="7">
        <v>0.78612268518518524</v>
      </c>
      <c r="B30" s="3">
        <v>5473</v>
      </c>
      <c r="C30" s="4">
        <f t="shared" si="0"/>
        <v>94.285714285699555</v>
      </c>
      <c r="D30" s="5">
        <f t="shared" si="1"/>
        <v>58.046969696978763</v>
      </c>
    </row>
    <row r="31" spans="1:4" x14ac:dyDescent="0.25">
      <c r="A31" s="7">
        <v>0.78630787037037031</v>
      </c>
      <c r="B31" s="3">
        <v>5431</v>
      </c>
      <c r="C31" s="4">
        <f t="shared" si="0"/>
        <v>157.50000000010127</v>
      </c>
      <c r="D31" s="5">
        <f t="shared" si="1"/>
        <v>34.482539682517512</v>
      </c>
    </row>
    <row r="32" spans="1:4" x14ac:dyDescent="0.25">
      <c r="A32" s="7">
        <v>0.78662037037037036</v>
      </c>
      <c r="B32" s="3">
        <v>5407</v>
      </c>
      <c r="C32" s="4">
        <f t="shared" si="0"/>
        <v>53.333333333324994</v>
      </c>
      <c r="D32" s="5">
        <f t="shared" si="1"/>
        <v>101.38125000001585</v>
      </c>
    </row>
    <row r="33" spans="1:4" x14ac:dyDescent="0.25">
      <c r="A33" s="7">
        <v>0.78674768518518512</v>
      </c>
      <c r="B33" s="3">
        <v>5371</v>
      </c>
      <c r="C33" s="4">
        <f t="shared" si="0"/>
        <v>196.36363636371982</v>
      </c>
      <c r="D33" s="5">
        <f t="shared" si="1"/>
        <v>27.35231481480319</v>
      </c>
    </row>
    <row r="34" spans="1:4" x14ac:dyDescent="0.25">
      <c r="A34" s="7">
        <v>0.78700231481481486</v>
      </c>
      <c r="B34" s="3">
        <v>5334</v>
      </c>
      <c r="C34" s="4">
        <f t="shared" si="0"/>
        <v>100.9090909090458</v>
      </c>
      <c r="D34" s="5">
        <f t="shared" si="1"/>
        <v>52.859459459483091</v>
      </c>
    </row>
    <row r="35" spans="1:4" x14ac:dyDescent="0.25">
      <c r="A35" s="7">
        <v>0.7872569444444445</v>
      </c>
      <c r="B35" s="3">
        <v>5290</v>
      </c>
      <c r="C35" s="4">
        <f t="shared" si="0"/>
        <v>119.99999999999868</v>
      </c>
      <c r="D35" s="5">
        <f t="shared" si="1"/>
        <v>44.083333333333819</v>
      </c>
    </row>
    <row r="36" spans="1:4" x14ac:dyDescent="0.25">
      <c r="A36" s="7">
        <v>0.78749999999999998</v>
      </c>
      <c r="B36" s="3">
        <v>5258</v>
      </c>
      <c r="C36" s="4">
        <f t="shared" si="0"/>
        <v>91.4285714285989</v>
      </c>
      <c r="D36" s="5">
        <f t="shared" si="1"/>
        <v>57.509374999982718</v>
      </c>
    </row>
    <row r="37" spans="1:4" x14ac:dyDescent="0.25">
      <c r="A37" s="7">
        <v>0.78775462962962972</v>
      </c>
      <c r="B37" s="3">
        <v>5226</v>
      </c>
      <c r="C37" s="4">
        <f t="shared" si="0"/>
        <v>87.272727272688272</v>
      </c>
      <c r="D37" s="5">
        <f t="shared" si="1"/>
        <v>59.88125000002676</v>
      </c>
    </row>
    <row r="38" spans="1:4" x14ac:dyDescent="0.25">
      <c r="A38" s="7">
        <v>0.78806712962962966</v>
      </c>
      <c r="B38" s="3">
        <v>5200</v>
      </c>
      <c r="C38" s="4">
        <f t="shared" si="0"/>
        <v>57.777777777789275</v>
      </c>
      <c r="D38" s="5">
        <f t="shared" si="1"/>
        <v>89.999999999982094</v>
      </c>
    </row>
    <row r="39" spans="1:4" x14ac:dyDescent="0.25">
      <c r="A39" s="7">
        <v>0.78863425925925934</v>
      </c>
      <c r="B39" s="3">
        <v>5083</v>
      </c>
      <c r="C39" s="4">
        <f t="shared" si="0"/>
        <v>143.26530612243593</v>
      </c>
      <c r="D39" s="5">
        <f t="shared" si="1"/>
        <v>35.479629629632861</v>
      </c>
    </row>
    <row r="40" spans="1:4" x14ac:dyDescent="0.25">
      <c r="A40" s="7">
        <v>0.78888888888888886</v>
      </c>
      <c r="B40" s="3">
        <v>5042</v>
      </c>
      <c r="C40" s="4">
        <f t="shared" si="0"/>
        <v>111.81818181822935</v>
      </c>
      <c r="D40" s="5">
        <f t="shared" si="1"/>
        <v>45.091056910549938</v>
      </c>
    </row>
    <row r="41" spans="1:4" x14ac:dyDescent="0.25">
      <c r="A41" s="7">
        <v>0.78932870370370367</v>
      </c>
      <c r="B41" s="3">
        <v>4965</v>
      </c>
      <c r="C41" s="4">
        <f t="shared" si="0"/>
        <v>121.5789473684225</v>
      </c>
      <c r="D41" s="5">
        <f t="shared" si="1"/>
        <v>40.837662337661847</v>
      </c>
    </row>
    <row r="42" spans="1:4" x14ac:dyDescent="0.25">
      <c r="A42" s="7">
        <v>0.79006944444444438</v>
      </c>
      <c r="B42" s="3">
        <v>4861</v>
      </c>
      <c r="C42" s="4">
        <f t="shared" si="0"/>
        <v>97.500000000004249</v>
      </c>
      <c r="D42" s="5">
        <f t="shared" si="1"/>
        <v>49.856410256408083</v>
      </c>
    </row>
    <row r="43" spans="1:4" x14ac:dyDescent="0.25">
      <c r="A43" s="7">
        <v>0.79101851851851857</v>
      </c>
      <c r="B43" s="3">
        <v>4715</v>
      </c>
      <c r="C43" s="4">
        <f t="shared" si="0"/>
        <v>106.82926829267039</v>
      </c>
      <c r="D43" s="5">
        <f t="shared" si="1"/>
        <v>44.135844748863626</v>
      </c>
    </row>
    <row r="44" spans="1:4" x14ac:dyDescent="0.25">
      <c r="A44" s="7">
        <v>0.79369212962962965</v>
      </c>
      <c r="B44" s="3">
        <v>4259</v>
      </c>
      <c r="C44" s="4">
        <f t="shared" si="0"/>
        <v>118.44155844155961</v>
      </c>
      <c r="D44" s="5">
        <f t="shared" si="1"/>
        <v>35.958662280701404</v>
      </c>
    </row>
    <row r="45" spans="1:4" x14ac:dyDescent="0.25">
      <c r="A45" s="7">
        <v>0.79394675925925917</v>
      </c>
      <c r="B45" s="3">
        <v>4217</v>
      </c>
      <c r="C45" s="4">
        <f t="shared" si="0"/>
        <v>114.54545454550323</v>
      </c>
      <c r="D45" s="5">
        <f t="shared" si="1"/>
        <v>36.815079365063717</v>
      </c>
    </row>
    <row r="46" spans="1:4" x14ac:dyDescent="0.25">
      <c r="A46" s="7">
        <v>0.79425925925925922</v>
      </c>
      <c r="B46" s="3">
        <v>4191</v>
      </c>
      <c r="C46" s="4">
        <f t="shared" si="0"/>
        <v>57.777777777768748</v>
      </c>
      <c r="D46" s="5">
        <f t="shared" si="1"/>
        <v>72.536538461549796</v>
      </c>
    </row>
    <row r="47" spans="1:4" x14ac:dyDescent="0.25">
      <c r="A47" s="7">
        <v>0.79451388888888885</v>
      </c>
      <c r="B47" s="3">
        <v>4158</v>
      </c>
      <c r="C47" s="4">
        <f t="shared" si="0"/>
        <v>89.999999999999019</v>
      </c>
      <c r="D47" s="5">
        <f t="shared" si="1"/>
        <v>46.2000000000005</v>
      </c>
    </row>
    <row r="48" spans="1:4" x14ac:dyDescent="0.25">
      <c r="A48" s="7">
        <v>0.79464120370370372</v>
      </c>
      <c r="B48" s="3">
        <v>4123</v>
      </c>
      <c r="C48" s="4">
        <f t="shared" si="0"/>
        <v>190.90909090900558</v>
      </c>
      <c r="D48" s="5">
        <f t="shared" si="1"/>
        <v>21.59666666667632</v>
      </c>
    </row>
    <row r="49" spans="1:4" x14ac:dyDescent="0.25">
      <c r="A49" s="7">
        <v>0.79564814814814822</v>
      </c>
      <c r="B49" s="3">
        <v>3971</v>
      </c>
      <c r="C49" s="4">
        <f t="shared" si="0"/>
        <v>104.82758620689172</v>
      </c>
      <c r="D49" s="5">
        <f t="shared" si="1"/>
        <v>37.881250000001742</v>
      </c>
    </row>
    <row r="50" spans="1:4" x14ac:dyDescent="0.25">
      <c r="A50" s="7">
        <v>0.79578703703703713</v>
      </c>
      <c r="B50" s="3">
        <v>3933</v>
      </c>
      <c r="C50" s="4">
        <f t="shared" si="0"/>
        <v>189.9999999999703</v>
      </c>
      <c r="D50" s="5">
        <f t="shared" si="1"/>
        <v>20.700000000003236</v>
      </c>
    </row>
    <row r="51" spans="1:4" x14ac:dyDescent="0.25">
      <c r="A51" s="7">
        <v>0.79603009259259261</v>
      </c>
      <c r="B51" s="3">
        <v>3899</v>
      </c>
      <c r="C51" s="4">
        <f t="shared" si="0"/>
        <v>97.142857142886328</v>
      </c>
      <c r="D51" s="5">
        <f t="shared" si="1"/>
        <v>40.136764705870291</v>
      </c>
    </row>
    <row r="52" spans="1:4" x14ac:dyDescent="0.25">
      <c r="A52" s="7">
        <v>0.7963541666666667</v>
      </c>
      <c r="B52" s="3">
        <v>3858</v>
      </c>
      <c r="C52" s="4">
        <f t="shared" si="0"/>
        <v>87.857142857139166</v>
      </c>
      <c r="D52" s="5">
        <f t="shared" si="1"/>
        <v>43.912195121953062</v>
      </c>
    </row>
    <row r="53" spans="1:4" x14ac:dyDescent="0.25">
      <c r="A53" s="7">
        <v>0.79660879629629633</v>
      </c>
      <c r="B53" s="3">
        <v>3810</v>
      </c>
      <c r="C53" s="4">
        <f t="shared" si="0"/>
        <v>130.90909090908946</v>
      </c>
      <c r="D53" s="5">
        <f t="shared" si="1"/>
        <v>29.104166666666991</v>
      </c>
    </row>
    <row r="54" spans="1:4" x14ac:dyDescent="0.25">
      <c r="A54" s="7">
        <v>0.79673611111111109</v>
      </c>
      <c r="B54" s="3">
        <v>3771</v>
      </c>
      <c r="C54" s="4">
        <f t="shared" si="0"/>
        <v>212.72727272736313</v>
      </c>
      <c r="D54" s="5">
        <f t="shared" si="1"/>
        <v>17.726923076915543</v>
      </c>
    </row>
    <row r="55" spans="1:4" x14ac:dyDescent="0.25">
      <c r="A55" s="7">
        <v>0.79693287037037042</v>
      </c>
      <c r="B55" s="3">
        <v>3743</v>
      </c>
      <c r="C55" s="4">
        <f t="shared" si="0"/>
        <v>98.823529411730675</v>
      </c>
      <c r="D55" s="5">
        <f t="shared" si="1"/>
        <v>37.875595238108282</v>
      </c>
    </row>
    <row r="56" spans="1:4" x14ac:dyDescent="0.25">
      <c r="A56" s="7">
        <v>0.79719907407407409</v>
      </c>
      <c r="B56" s="3">
        <v>3716</v>
      </c>
      <c r="C56" s="4">
        <f t="shared" ref="C56:C96" si="2">SUM((B55-B56)/((A56-A55)*86400)*60)</f>
        <v>70.434782608704225</v>
      </c>
      <c r="D56" s="5">
        <f t="shared" ref="D56:D96" si="3">SUM(B56/C56)</f>
        <v>52.758024691351601</v>
      </c>
    </row>
    <row r="57" spans="1:4" x14ac:dyDescent="0.25">
      <c r="A57" s="7">
        <v>0.79745370370370372</v>
      </c>
      <c r="B57" s="3">
        <v>3672</v>
      </c>
      <c r="C57" s="4">
        <f t="shared" si="2"/>
        <v>119.99999999999868</v>
      </c>
      <c r="D57" s="5">
        <f t="shared" si="3"/>
        <v>30.600000000000335</v>
      </c>
    </row>
    <row r="58" spans="1:4" x14ac:dyDescent="0.25">
      <c r="A58" s="7">
        <v>0.79782407407407396</v>
      </c>
      <c r="B58" s="3">
        <v>3636</v>
      </c>
      <c r="C58" s="4">
        <f t="shared" si="2"/>
        <v>67.500000000023164</v>
      </c>
      <c r="D58" s="5">
        <f t="shared" si="3"/>
        <v>53.866666666648179</v>
      </c>
    </row>
    <row r="59" spans="1:4" x14ac:dyDescent="0.25">
      <c r="A59" s="7">
        <v>0.79807870370370371</v>
      </c>
      <c r="B59" s="3">
        <v>3600</v>
      </c>
      <c r="C59" s="4">
        <f t="shared" si="2"/>
        <v>98.18181818177429</v>
      </c>
      <c r="D59" s="5">
        <f t="shared" si="3"/>
        <v>36.666666666683057</v>
      </c>
    </row>
    <row r="60" spans="1:4" x14ac:dyDescent="0.25">
      <c r="A60" s="7">
        <v>0.79877314814814815</v>
      </c>
      <c r="B60" s="9">
        <v>3502</v>
      </c>
      <c r="C60" s="4">
        <f t="shared" si="2"/>
        <v>98.000000000000341</v>
      </c>
      <c r="D60" s="5">
        <f t="shared" si="3"/>
        <v>35.734693877550896</v>
      </c>
    </row>
    <row r="61" spans="1:4" x14ac:dyDescent="0.25">
      <c r="A61" s="7">
        <v>0.79902777777777778</v>
      </c>
      <c r="B61" s="3">
        <v>3443</v>
      </c>
      <c r="C61" s="4">
        <f t="shared" si="2"/>
        <v>160.90909090908914</v>
      </c>
      <c r="D61" s="5">
        <f t="shared" si="3"/>
        <v>21.397175141243171</v>
      </c>
    </row>
    <row r="62" spans="1:4" x14ac:dyDescent="0.25">
      <c r="A62" s="7">
        <v>0.79940972222222229</v>
      </c>
      <c r="B62" s="3">
        <v>3406</v>
      </c>
      <c r="C62" s="4">
        <f t="shared" si="2"/>
        <v>67.27272727271675</v>
      </c>
      <c r="D62" s="5">
        <f t="shared" si="3"/>
        <v>50.629729729737647</v>
      </c>
    </row>
    <row r="63" spans="1:4" x14ac:dyDescent="0.25">
      <c r="A63" s="7">
        <v>0.79959490740740735</v>
      </c>
      <c r="B63" s="3">
        <v>3377</v>
      </c>
      <c r="C63" s="4">
        <f t="shared" si="2"/>
        <v>108.75000000006993</v>
      </c>
      <c r="D63" s="5">
        <f t="shared" si="3"/>
        <v>31.052873563198421</v>
      </c>
    </row>
    <row r="64" spans="1:4" x14ac:dyDescent="0.25">
      <c r="A64" s="7">
        <v>0.79979166666666668</v>
      </c>
      <c r="B64" s="3">
        <v>3348</v>
      </c>
      <c r="C64" s="4">
        <f t="shared" si="2"/>
        <v>102.35294117643534</v>
      </c>
      <c r="D64" s="5">
        <f t="shared" si="3"/>
        <v>32.710344827597474</v>
      </c>
    </row>
    <row r="65" spans="1:4" x14ac:dyDescent="0.25">
      <c r="A65" s="7">
        <v>0.8002893518518519</v>
      </c>
      <c r="B65" s="3">
        <v>3280</v>
      </c>
      <c r="C65" s="4">
        <f t="shared" si="2"/>
        <v>94.883720930224783</v>
      </c>
      <c r="D65" s="5">
        <f t="shared" si="3"/>
        <v>34.568627450983222</v>
      </c>
    </row>
    <row r="66" spans="1:4" x14ac:dyDescent="0.25">
      <c r="A66" s="7">
        <v>0.80048611111111112</v>
      </c>
      <c r="B66" s="3">
        <v>3255</v>
      </c>
      <c r="C66" s="4">
        <f t="shared" si="2"/>
        <v>88.235294117666456</v>
      </c>
      <c r="D66" s="5">
        <f t="shared" si="3"/>
        <v>36.889999999991893</v>
      </c>
    </row>
    <row r="67" spans="1:4" x14ac:dyDescent="0.25">
      <c r="A67" s="7">
        <v>0.80079861111111106</v>
      </c>
      <c r="B67" s="3">
        <v>3230</v>
      </c>
      <c r="C67" s="4">
        <f t="shared" si="2"/>
        <v>55.555555555566606</v>
      </c>
      <c r="D67" s="5">
        <f t="shared" si="3"/>
        <v>58.139999999988433</v>
      </c>
    </row>
    <row r="68" spans="1:4" x14ac:dyDescent="0.25">
      <c r="A68" s="7">
        <v>0.80112268518518526</v>
      </c>
      <c r="B68" s="3">
        <v>3165</v>
      </c>
      <c r="C68" s="4">
        <f t="shared" si="2"/>
        <v>139.2857142856607</v>
      </c>
      <c r="D68" s="5">
        <f t="shared" si="3"/>
        <v>22.723076923085664</v>
      </c>
    </row>
    <row r="69" spans="1:4" x14ac:dyDescent="0.25">
      <c r="A69" s="7">
        <v>0.80137731481481478</v>
      </c>
      <c r="B69" s="3">
        <v>3126</v>
      </c>
      <c r="C69" s="4">
        <f t="shared" si="2"/>
        <v>106.36363636368156</v>
      </c>
      <c r="D69" s="5">
        <f t="shared" si="3"/>
        <v>29.389743589731101</v>
      </c>
    </row>
    <row r="70" spans="1:4" x14ac:dyDescent="0.25">
      <c r="A70" s="7">
        <v>0.80168981481481483</v>
      </c>
      <c r="B70" s="3">
        <v>3087</v>
      </c>
      <c r="C70" s="4">
        <f t="shared" si="2"/>
        <v>86.666666666653114</v>
      </c>
      <c r="D70" s="5">
        <f t="shared" si="3"/>
        <v>35.619230769236339</v>
      </c>
    </row>
    <row r="71" spans="1:4" x14ac:dyDescent="0.25">
      <c r="A71" s="7">
        <v>0.80182870370370374</v>
      </c>
      <c r="B71" s="3">
        <v>3053</v>
      </c>
      <c r="C71" s="4">
        <f t="shared" si="2"/>
        <v>169.99999999997343</v>
      </c>
      <c r="D71" s="5">
        <f t="shared" si="3"/>
        <v>17.958823529414573</v>
      </c>
    </row>
    <row r="72" spans="1:4" x14ac:dyDescent="0.25">
      <c r="A72" s="7">
        <v>0.80202546296296295</v>
      </c>
      <c r="B72" s="3">
        <v>3029</v>
      </c>
      <c r="C72" s="4">
        <f t="shared" si="2"/>
        <v>84.70588235295979</v>
      </c>
      <c r="D72" s="5">
        <f t="shared" si="3"/>
        <v>35.759027777769923</v>
      </c>
    </row>
    <row r="73" spans="1:4" x14ac:dyDescent="0.25">
      <c r="A73" s="7">
        <v>0.80229166666666663</v>
      </c>
      <c r="B73" s="3">
        <v>2989</v>
      </c>
      <c r="C73" s="4">
        <f t="shared" si="2"/>
        <v>104.34782608696923</v>
      </c>
      <c r="D73" s="5">
        <f t="shared" si="3"/>
        <v>28.644583333329845</v>
      </c>
    </row>
    <row r="74" spans="1:4" x14ac:dyDescent="0.25">
      <c r="A74" s="7">
        <v>0.80284722222222227</v>
      </c>
      <c r="B74" s="3">
        <v>2931</v>
      </c>
      <c r="C74" s="4">
        <f t="shared" si="2"/>
        <v>72.499999999988674</v>
      </c>
      <c r="D74" s="5">
        <f t="shared" si="3"/>
        <v>40.427586206902866</v>
      </c>
    </row>
    <row r="75" spans="1:4" x14ac:dyDescent="0.25">
      <c r="A75" s="7">
        <v>0.80298611111111118</v>
      </c>
      <c r="B75" s="3">
        <v>2902</v>
      </c>
      <c r="C75" s="4">
        <f t="shared" si="2"/>
        <v>144.99999999997735</v>
      </c>
      <c r="D75" s="5">
        <f t="shared" si="3"/>
        <v>20.013793103451402</v>
      </c>
    </row>
    <row r="76" spans="1:4" x14ac:dyDescent="0.25">
      <c r="A76" s="7">
        <v>0.80324074074074081</v>
      </c>
      <c r="B76" s="3">
        <v>2874</v>
      </c>
      <c r="C76" s="4">
        <f t="shared" si="2"/>
        <v>76.363636363635521</v>
      </c>
      <c r="D76" s="5">
        <f t="shared" si="3"/>
        <v>37.635714285714698</v>
      </c>
    </row>
    <row r="77" spans="1:4" x14ac:dyDescent="0.25">
      <c r="A77" s="7">
        <v>0.80356481481481479</v>
      </c>
      <c r="B77" s="3">
        <v>2836</v>
      </c>
      <c r="C77" s="4">
        <f t="shared" si="2"/>
        <v>81.428571428595887</v>
      </c>
      <c r="D77" s="5">
        <f t="shared" si="3"/>
        <v>34.828070175428138</v>
      </c>
    </row>
    <row r="78" spans="1:4" x14ac:dyDescent="0.25">
      <c r="A78" s="7">
        <v>0.80381944444444453</v>
      </c>
      <c r="B78" s="3">
        <v>2799</v>
      </c>
      <c r="C78" s="4">
        <f t="shared" si="2"/>
        <v>100.9090909090458</v>
      </c>
      <c r="D78" s="5">
        <f t="shared" si="3"/>
        <v>27.737837837850236</v>
      </c>
    </row>
    <row r="79" spans="1:4" x14ac:dyDescent="0.25">
      <c r="A79" s="7">
        <v>0.80395833333333344</v>
      </c>
      <c r="B79" s="3">
        <v>2768</v>
      </c>
      <c r="C79" s="4">
        <f t="shared" si="2"/>
        <v>154.99999999997576</v>
      </c>
      <c r="D79" s="5">
        <f t="shared" si="3"/>
        <v>17.858064516131826</v>
      </c>
    </row>
    <row r="80" spans="1:4" x14ac:dyDescent="0.25">
      <c r="A80" s="7">
        <v>0.80452546296296301</v>
      </c>
      <c r="B80" s="3">
        <v>2703</v>
      </c>
      <c r="C80" s="4">
        <f t="shared" si="2"/>
        <v>79.591836734702213</v>
      </c>
      <c r="D80" s="5">
        <f t="shared" si="3"/>
        <v>33.960769230765678</v>
      </c>
    </row>
    <row r="81" spans="1:4" x14ac:dyDescent="0.25">
      <c r="A81" s="7">
        <v>0.80483796296296306</v>
      </c>
      <c r="B81" s="3">
        <v>2645</v>
      </c>
      <c r="C81" s="4">
        <f t="shared" si="2"/>
        <v>128.88888888886873</v>
      </c>
      <c r="D81" s="5">
        <f t="shared" si="3"/>
        <v>20.52155172414114</v>
      </c>
    </row>
    <row r="82" spans="1:4" x14ac:dyDescent="0.25">
      <c r="A82" s="7">
        <v>0.80510416666666673</v>
      </c>
      <c r="B82" s="3">
        <v>2616</v>
      </c>
      <c r="C82" s="4">
        <f t="shared" si="2"/>
        <v>75.652173913052692</v>
      </c>
      <c r="D82" s="5">
        <f t="shared" si="3"/>
        <v>34.579310344823377</v>
      </c>
    </row>
    <row r="83" spans="1:4" x14ac:dyDescent="0.25">
      <c r="A83" s="7">
        <v>0.8052893518518518</v>
      </c>
      <c r="B83" s="3">
        <v>2575</v>
      </c>
      <c r="C83" s="4">
        <f t="shared" si="2"/>
        <v>153.75000000009888</v>
      </c>
      <c r="D83" s="5">
        <f t="shared" si="3"/>
        <v>16.747967479664027</v>
      </c>
    </row>
    <row r="84" spans="1:4" x14ac:dyDescent="0.25">
      <c r="A84" s="7">
        <v>0.80561342592592589</v>
      </c>
      <c r="B84" s="3">
        <v>2541</v>
      </c>
      <c r="C84" s="4">
        <f t="shared" si="2"/>
        <v>72.857142857139792</v>
      </c>
      <c r="D84" s="5">
        <f t="shared" si="3"/>
        <v>34.876470588236764</v>
      </c>
    </row>
    <row r="85" spans="1:4" x14ac:dyDescent="0.25">
      <c r="A85" s="7">
        <v>0.8057523148148148</v>
      </c>
      <c r="B85" s="3">
        <v>2519</v>
      </c>
      <c r="C85" s="4">
        <f t="shared" si="2"/>
        <v>109.9999999999828</v>
      </c>
      <c r="D85" s="5">
        <f t="shared" si="3"/>
        <v>22.90000000000358</v>
      </c>
    </row>
    <row r="86" spans="1:4" x14ac:dyDescent="0.25">
      <c r="A86" s="7">
        <v>0.80600694444444443</v>
      </c>
      <c r="B86" s="3">
        <v>2490</v>
      </c>
      <c r="C86" s="4">
        <f t="shared" si="2"/>
        <v>79.090909090908227</v>
      </c>
      <c r="D86" s="5">
        <f t="shared" si="3"/>
        <v>31.482758620689999</v>
      </c>
    </row>
    <row r="87" spans="1:4" x14ac:dyDescent="0.25">
      <c r="A87" s="7">
        <v>0.80631944444444448</v>
      </c>
      <c r="B87" s="3">
        <v>2448</v>
      </c>
      <c r="C87" s="4">
        <f t="shared" si="2"/>
        <v>93.333333333318748</v>
      </c>
      <c r="D87" s="5">
        <f t="shared" si="3"/>
        <v>26.228571428575528</v>
      </c>
    </row>
    <row r="88" spans="1:4" x14ac:dyDescent="0.25">
      <c r="A88" s="7">
        <v>0.806574074074074</v>
      </c>
      <c r="B88" s="3">
        <v>2416</v>
      </c>
      <c r="C88" s="4">
        <f t="shared" si="2"/>
        <v>87.272727272764371</v>
      </c>
      <c r="D88" s="5">
        <f t="shared" si="3"/>
        <v>27.683333333321567</v>
      </c>
    </row>
    <row r="89" spans="1:4" x14ac:dyDescent="0.25">
      <c r="A89" s="7">
        <v>0.80684027777777778</v>
      </c>
      <c r="B89" s="3">
        <v>2391</v>
      </c>
      <c r="C89" s="4">
        <f t="shared" si="2"/>
        <v>65.217391304328572</v>
      </c>
      <c r="D89" s="5">
        <f t="shared" si="3"/>
        <v>36.662000000010821</v>
      </c>
    </row>
    <row r="90" spans="1:4" x14ac:dyDescent="0.25">
      <c r="A90" s="7">
        <v>0.8070949074074073</v>
      </c>
      <c r="B90" s="3">
        <v>2358</v>
      </c>
      <c r="C90" s="4">
        <f t="shared" si="2"/>
        <v>90.000000000038256</v>
      </c>
      <c r="D90" s="5">
        <f t="shared" si="3"/>
        <v>26.199999999988865</v>
      </c>
    </row>
    <row r="91" spans="1:4" x14ac:dyDescent="0.25">
      <c r="A91" s="7">
        <v>0.80722222222222229</v>
      </c>
      <c r="B91" s="3">
        <v>2330</v>
      </c>
      <c r="C91" s="4">
        <f t="shared" si="2"/>
        <v>152.72727272707129</v>
      </c>
      <c r="D91" s="5">
        <f t="shared" si="3"/>
        <v>15.255952380972502</v>
      </c>
    </row>
    <row r="92" spans="1:4" x14ac:dyDescent="0.25">
      <c r="A92" s="7">
        <v>0.80743055555555554</v>
      </c>
      <c r="B92" s="3">
        <v>2301</v>
      </c>
      <c r="C92" s="4">
        <f t="shared" si="2"/>
        <v>96.666666666703065</v>
      </c>
      <c r="D92" s="5">
        <f t="shared" si="3"/>
        <v>23.803448275853107</v>
      </c>
    </row>
    <row r="93" spans="1:4" x14ac:dyDescent="0.25">
      <c r="A93" s="7">
        <v>0.80768518518518517</v>
      </c>
      <c r="B93" s="3">
        <v>2274</v>
      </c>
      <c r="C93" s="4">
        <f t="shared" si="2"/>
        <v>73.63636363636283</v>
      </c>
      <c r="D93" s="5">
        <f t="shared" si="3"/>
        <v>30.881481481481821</v>
      </c>
    </row>
    <row r="94" spans="1:4" x14ac:dyDescent="0.25">
      <c r="A94" s="7">
        <v>0.80793981481481481</v>
      </c>
      <c r="B94" s="3">
        <v>2237</v>
      </c>
      <c r="C94" s="4">
        <f t="shared" si="2"/>
        <v>100.90909090908981</v>
      </c>
      <c r="D94" s="5">
        <f t="shared" si="3"/>
        <v>22.16846846846871</v>
      </c>
    </row>
    <row r="95" spans="1:4" x14ac:dyDescent="0.25">
      <c r="A95" s="7">
        <v>0.80880787037037039</v>
      </c>
      <c r="B95" s="3">
        <v>2114</v>
      </c>
      <c r="C95" s="4">
        <f t="shared" si="2"/>
        <v>98.399999999997206</v>
      </c>
      <c r="D95" s="5">
        <f t="shared" si="3"/>
        <v>21.483739837398986</v>
      </c>
    </row>
    <row r="96" spans="1:4" x14ac:dyDescent="0.25">
      <c r="A96" s="7">
        <v>0.80917824074074074</v>
      </c>
      <c r="B96" s="3">
        <v>2082</v>
      </c>
      <c r="C96" s="4">
        <f t="shared" si="2"/>
        <v>60.000000000002615</v>
      </c>
      <c r="D96" s="5">
        <f t="shared" si="3"/>
        <v>34.699999999998489</v>
      </c>
    </row>
    <row r="97" spans="1:4" x14ac:dyDescent="0.25">
      <c r="A97" s="10">
        <v>0.80950231481481483</v>
      </c>
      <c r="B97" s="3">
        <v>2008</v>
      </c>
      <c r="C97" s="4">
        <f t="shared" ref="C97:C135" si="4">SUM((B96-B97)/((A97-A96)*86400)*60)</f>
        <v>158.57142857142188</v>
      </c>
      <c r="D97" s="5">
        <f t="shared" ref="D97:D135" si="5">SUM(B97/C97)</f>
        <v>12.663063063063598</v>
      </c>
    </row>
    <row r="98" spans="1:4" x14ac:dyDescent="0.25">
      <c r="A98" s="10">
        <v>0.80978009259259265</v>
      </c>
      <c r="B98" s="3">
        <v>1978</v>
      </c>
      <c r="C98" s="4">
        <f t="shared" si="4"/>
        <v>74.999999999988276</v>
      </c>
      <c r="D98" s="5">
        <f t="shared" si="5"/>
        <v>26.373333333337456</v>
      </c>
    </row>
    <row r="99" spans="1:4" x14ac:dyDescent="0.25">
      <c r="A99" s="10">
        <v>0.80993055555555549</v>
      </c>
      <c r="B99" s="3">
        <v>1955</v>
      </c>
      <c r="C99" s="4">
        <f t="shared" si="4"/>
        <v>106.153846153934</v>
      </c>
      <c r="D99" s="5">
        <f t="shared" si="5"/>
        <v>18.416666666651427</v>
      </c>
    </row>
    <row r="100" spans="1:4" x14ac:dyDescent="0.25">
      <c r="A100" s="10">
        <v>0.81013888888888896</v>
      </c>
      <c r="B100" s="3">
        <v>1921</v>
      </c>
      <c r="C100" s="4">
        <f t="shared" si="4"/>
        <v>113.33333333325523</v>
      </c>
      <c r="D100" s="5">
        <f t="shared" si="5"/>
        <v>16.950000000011681</v>
      </c>
    </row>
    <row r="101" spans="1:4" x14ac:dyDescent="0.25">
      <c r="A101" s="10">
        <v>0.81040509259259252</v>
      </c>
      <c r="B101" s="3">
        <v>1886</v>
      </c>
      <c r="C101" s="4">
        <f t="shared" si="4"/>
        <v>91.304347826136151</v>
      </c>
      <c r="D101" s="5">
        <f t="shared" si="5"/>
        <v>20.656190476179347</v>
      </c>
    </row>
    <row r="102" spans="1:4" x14ac:dyDescent="0.25">
      <c r="A102" s="10">
        <v>0.81068287037037035</v>
      </c>
      <c r="B102" s="3">
        <v>1861</v>
      </c>
      <c r="C102" s="4">
        <f t="shared" si="4"/>
        <v>62.499999999990223</v>
      </c>
      <c r="D102" s="5">
        <f t="shared" si="5"/>
        <v>29.776000000004657</v>
      </c>
    </row>
    <row r="103" spans="1:4" x14ac:dyDescent="0.25">
      <c r="A103" s="10">
        <v>0.81100694444444443</v>
      </c>
      <c r="B103" s="3">
        <v>1835</v>
      </c>
      <c r="C103" s="4">
        <f t="shared" si="4"/>
        <v>55.714285714283363</v>
      </c>
      <c r="D103" s="5">
        <f t="shared" si="5"/>
        <v>32.935897435898823</v>
      </c>
    </row>
    <row r="104" spans="1:4" x14ac:dyDescent="0.25">
      <c r="A104" s="10">
        <v>0.81126157407407407</v>
      </c>
      <c r="B104" s="3">
        <v>1800</v>
      </c>
      <c r="C104" s="4">
        <f t="shared" si="4"/>
        <v>95.454545454544416</v>
      </c>
      <c r="D104" s="5">
        <f t="shared" si="5"/>
        <v>18.857142857143064</v>
      </c>
    </row>
    <row r="105" spans="1:4" x14ac:dyDescent="0.25">
      <c r="A105" s="10">
        <v>0.81141203703703713</v>
      </c>
      <c r="B105" s="3">
        <v>1766</v>
      </c>
      <c r="C105" s="4">
        <f t="shared" si="4"/>
        <v>156.92307692297518</v>
      </c>
      <c r="D105" s="5">
        <f t="shared" si="5"/>
        <v>11.253921568634746</v>
      </c>
    </row>
    <row r="106" spans="1:4" x14ac:dyDescent="0.25">
      <c r="A106" s="10">
        <v>0.8117361111111111</v>
      </c>
      <c r="B106" s="3">
        <v>1721</v>
      </c>
      <c r="C106" s="4">
        <f t="shared" ref="C106:C107" si="6">SUM((B103-B104)/((A104-A103)*86400)*60)</f>
        <v>95.454545454544416</v>
      </c>
      <c r="D106" s="5">
        <f>SUM(B106/C108)</f>
        <v>17.847407407402045</v>
      </c>
    </row>
    <row r="107" spans="1:4" x14ac:dyDescent="0.25">
      <c r="A107" s="10">
        <v>0.81214120370370368</v>
      </c>
      <c r="B107" s="3">
        <v>1654</v>
      </c>
      <c r="C107" s="4">
        <f t="shared" si="6"/>
        <v>156.92307692297518</v>
      </c>
      <c r="D107" s="5">
        <f t="shared" si="5"/>
        <v>10.540196078438207</v>
      </c>
    </row>
    <row r="108" spans="1:4" x14ac:dyDescent="0.25">
      <c r="A108" s="10">
        <v>0.81240740740740736</v>
      </c>
      <c r="B108" s="3">
        <v>1622</v>
      </c>
      <c r="C108" s="4">
        <f>SUM((B105-B106)/((A106-A105)*86400)*60)</f>
        <v>96.428571428600392</v>
      </c>
      <c r="D108" s="5">
        <f t="shared" si="5"/>
        <v>16.820740740735687</v>
      </c>
    </row>
    <row r="109" spans="1:4" x14ac:dyDescent="0.25">
      <c r="A109" s="10">
        <v>0.81260416666666668</v>
      </c>
      <c r="B109" s="3">
        <v>1582</v>
      </c>
      <c r="C109" s="4">
        <f t="shared" si="4"/>
        <v>141.17647058818667</v>
      </c>
      <c r="D109" s="5">
        <f t="shared" si="5"/>
        <v>11.205833333337193</v>
      </c>
    </row>
    <row r="110" spans="1:4" x14ac:dyDescent="0.25">
      <c r="A110" s="11">
        <v>0.81292824074074066</v>
      </c>
      <c r="B110" s="3">
        <v>1507</v>
      </c>
      <c r="C110" s="4">
        <f t="shared" si="4"/>
        <v>160.71428571433401</v>
      </c>
      <c r="D110" s="5">
        <f t="shared" si="5"/>
        <v>9.3768888888860715</v>
      </c>
    </row>
    <row r="111" spans="1:4" x14ac:dyDescent="0.25">
      <c r="A111" s="11">
        <v>0.8131828703703704</v>
      </c>
      <c r="B111" s="3">
        <v>1476</v>
      </c>
      <c r="C111" s="4">
        <f t="shared" si="4"/>
        <v>84.54545454541676</v>
      </c>
      <c r="D111" s="5">
        <f t="shared" si="5"/>
        <v>17.458064516136833</v>
      </c>
    </row>
    <row r="112" spans="1:4" x14ac:dyDescent="0.25">
      <c r="A112" s="11">
        <v>0.81344907407407396</v>
      </c>
      <c r="B112" s="3">
        <v>1438</v>
      </c>
      <c r="C112" s="4">
        <f t="shared" si="4"/>
        <v>99.130434782662107</v>
      </c>
      <c r="D112" s="5">
        <f t="shared" si="5"/>
        <v>14.506140350869376</v>
      </c>
    </row>
    <row r="113" spans="1:4" x14ac:dyDescent="0.25">
      <c r="A113" s="11">
        <v>0.81365740740740744</v>
      </c>
      <c r="B113" s="3">
        <v>1410</v>
      </c>
      <c r="C113" s="4">
        <f t="shared" si="4"/>
        <v>93.333333333268996</v>
      </c>
      <c r="D113" s="5">
        <f t="shared" si="5"/>
        <v>15.107142857153271</v>
      </c>
    </row>
    <row r="114" spans="1:4" x14ac:dyDescent="0.25">
      <c r="A114" s="11">
        <v>0.81398148148148142</v>
      </c>
      <c r="B114" s="3">
        <v>1376</v>
      </c>
      <c r="C114" s="4">
        <f t="shared" si="4"/>
        <v>72.85714285716476</v>
      </c>
      <c r="D114" s="5">
        <f t="shared" si="5"/>
        <v>18.886274509798245</v>
      </c>
    </row>
    <row r="115" spans="1:4" x14ac:dyDescent="0.25">
      <c r="A115" s="11">
        <v>0.81412037037037033</v>
      </c>
      <c r="B115" s="3">
        <v>1345</v>
      </c>
      <c r="C115" s="4">
        <f t="shared" si="4"/>
        <v>154.99999999997576</v>
      </c>
      <c r="D115" s="5">
        <f t="shared" si="5"/>
        <v>8.6774193548400671</v>
      </c>
    </row>
    <row r="116" spans="1:4" x14ac:dyDescent="0.25">
      <c r="A116" s="11">
        <v>0.814386574074074</v>
      </c>
      <c r="B116" s="3">
        <v>1315</v>
      </c>
      <c r="C116" s="4">
        <f t="shared" si="4"/>
        <v>78.260869565226912</v>
      </c>
      <c r="D116" s="5">
        <f t="shared" si="5"/>
        <v>16.802777777775734</v>
      </c>
    </row>
    <row r="117" spans="1:4" x14ac:dyDescent="0.25">
      <c r="A117" s="11">
        <v>0.81465277777777778</v>
      </c>
      <c r="B117" s="3">
        <v>1288</v>
      </c>
      <c r="C117" s="4">
        <f t="shared" si="4"/>
        <v>70.434782608674851</v>
      </c>
      <c r="D117" s="5">
        <f t="shared" si="5"/>
        <v>18.28641975309182</v>
      </c>
    </row>
    <row r="118" spans="1:4" x14ac:dyDescent="0.25">
      <c r="A118" s="11">
        <v>0.81484953703703711</v>
      </c>
      <c r="B118" s="3">
        <v>1251</v>
      </c>
      <c r="C118" s="4">
        <f t="shared" si="4"/>
        <v>130.58823529407266</v>
      </c>
      <c r="D118" s="5">
        <f t="shared" si="5"/>
        <v>9.5797297297330299</v>
      </c>
    </row>
    <row r="119" spans="1:4" x14ac:dyDescent="0.25">
      <c r="A119" s="11">
        <v>0.81517361111111108</v>
      </c>
      <c r="B119" s="3">
        <v>1218</v>
      </c>
      <c r="C119" s="4">
        <f t="shared" si="4"/>
        <v>70.714285714306968</v>
      </c>
      <c r="D119" s="5">
        <f t="shared" si="5"/>
        <v>17.224242424237246</v>
      </c>
    </row>
    <row r="120" spans="1:4" x14ac:dyDescent="0.25">
      <c r="A120" s="11">
        <v>0.81549768518518517</v>
      </c>
      <c r="B120" s="3">
        <v>1140</v>
      </c>
      <c r="C120" s="4">
        <f t="shared" si="4"/>
        <v>167.14285714285009</v>
      </c>
      <c r="D120" s="5">
        <f t="shared" si="5"/>
        <v>6.820512820513108</v>
      </c>
    </row>
    <row r="121" spans="1:4" x14ac:dyDescent="0.25">
      <c r="A121" s="11">
        <v>0.81748842592592597</v>
      </c>
      <c r="B121" s="3">
        <v>866</v>
      </c>
      <c r="C121" s="4">
        <f t="shared" si="4"/>
        <v>95.581395348834718</v>
      </c>
      <c r="D121" s="5">
        <f t="shared" si="5"/>
        <v>9.0603406326036424</v>
      </c>
    </row>
    <row r="122" spans="1:4" x14ac:dyDescent="0.25">
      <c r="A122" s="11">
        <v>0.81765046296296295</v>
      </c>
      <c r="B122" s="3">
        <v>837</v>
      </c>
      <c r="C122" s="4">
        <f t="shared" si="4"/>
        <v>124.28571428575162</v>
      </c>
      <c r="D122" s="5">
        <f t="shared" si="5"/>
        <v>6.7344827586186664</v>
      </c>
    </row>
    <row r="123" spans="1:4" x14ac:dyDescent="0.25">
      <c r="A123" s="11">
        <v>0.81781250000000005</v>
      </c>
      <c r="B123" s="3">
        <v>810</v>
      </c>
      <c r="C123" s="4">
        <f t="shared" si="4"/>
        <v>115.71428571424119</v>
      </c>
      <c r="D123" s="5">
        <f t="shared" si="5"/>
        <v>7.0000000000026938</v>
      </c>
    </row>
    <row r="124" spans="1:4" x14ac:dyDescent="0.25">
      <c r="A124" s="11">
        <v>0.81807870370370372</v>
      </c>
      <c r="B124" s="3">
        <v>782</v>
      </c>
      <c r="C124" s="4">
        <f t="shared" si="4"/>
        <v>73.043478260878459</v>
      </c>
      <c r="D124" s="5">
        <f t="shared" si="5"/>
        <v>10.705952380951077</v>
      </c>
    </row>
    <row r="125" spans="1:4" x14ac:dyDescent="0.25">
      <c r="A125" s="11">
        <v>0.81834490740740751</v>
      </c>
      <c r="B125" s="3">
        <v>753</v>
      </c>
      <c r="C125" s="4">
        <f t="shared" si="4"/>
        <v>75.652173913021144</v>
      </c>
      <c r="D125" s="5">
        <f t="shared" si="5"/>
        <v>9.9534482758650071</v>
      </c>
    </row>
    <row r="126" spans="1:4" x14ac:dyDescent="0.25">
      <c r="A126" s="11">
        <v>0.8184837962962962</v>
      </c>
      <c r="B126" s="3">
        <v>723</v>
      </c>
      <c r="C126" s="4">
        <f t="shared" si="4"/>
        <v>150.00000000021635</v>
      </c>
      <c r="D126" s="5">
        <f t="shared" si="5"/>
        <v>4.8199999999930485</v>
      </c>
    </row>
    <row r="127" spans="1:4" x14ac:dyDescent="0.25">
      <c r="A127" s="11">
        <v>0.8187037037037036</v>
      </c>
      <c r="B127" s="3">
        <v>690</v>
      </c>
      <c r="C127" s="4">
        <f t="shared" si="4"/>
        <v>104.21052631579072</v>
      </c>
      <c r="D127" s="5">
        <f t="shared" si="5"/>
        <v>6.6212121212120421</v>
      </c>
    </row>
    <row r="128" spans="1:4" x14ac:dyDescent="0.25">
      <c r="A128" s="11">
        <v>0.81898148148148142</v>
      </c>
      <c r="B128" s="3">
        <v>667</v>
      </c>
      <c r="C128" s="4">
        <f t="shared" si="4"/>
        <v>57.499999999991012</v>
      </c>
      <c r="D128" s="5">
        <f t="shared" si="5"/>
        <v>11.600000000001813</v>
      </c>
    </row>
    <row r="129" spans="1:4" x14ac:dyDescent="0.25">
      <c r="A129" s="11">
        <v>0.81925925925925924</v>
      </c>
      <c r="B129" s="3">
        <v>624</v>
      </c>
      <c r="C129" s="4">
        <f t="shared" si="4"/>
        <v>107.49999999998319</v>
      </c>
      <c r="D129" s="5">
        <f t="shared" si="5"/>
        <v>5.8046511627916058</v>
      </c>
    </row>
    <row r="130" spans="1:4" x14ac:dyDescent="0.25">
      <c r="A130" s="11">
        <v>0.81952546296296302</v>
      </c>
      <c r="B130" s="3">
        <v>595</v>
      </c>
      <c r="C130" s="4">
        <f t="shared" si="4"/>
        <v>75.652173913021144</v>
      </c>
      <c r="D130" s="5">
        <f t="shared" si="5"/>
        <v>7.864942528737954</v>
      </c>
    </row>
    <row r="131" spans="1:4" x14ac:dyDescent="0.25">
      <c r="A131" s="11">
        <v>0.81967592592592586</v>
      </c>
      <c r="B131" s="3">
        <v>563</v>
      </c>
      <c r="C131" s="4">
        <f t="shared" si="4"/>
        <v>147.69230769242989</v>
      </c>
      <c r="D131" s="5">
        <f t="shared" si="5"/>
        <v>3.8119791666635128</v>
      </c>
    </row>
    <row r="132" spans="1:4" x14ac:dyDescent="0.25">
      <c r="A132" s="11">
        <v>0.81988425925925934</v>
      </c>
      <c r="B132" s="3">
        <v>530</v>
      </c>
      <c r="C132" s="4">
        <f t="shared" si="4"/>
        <v>109.99999999992419</v>
      </c>
      <c r="D132" s="5">
        <f t="shared" si="5"/>
        <v>4.8181818181851392</v>
      </c>
    </row>
    <row r="133" spans="1:4" x14ac:dyDescent="0.25">
      <c r="A133" s="11">
        <v>0.82015046296296301</v>
      </c>
      <c r="B133" s="3">
        <v>514</v>
      </c>
      <c r="C133" s="4">
        <f t="shared" si="4"/>
        <v>41.73913043478769</v>
      </c>
      <c r="D133" s="5">
        <f t="shared" si="5"/>
        <v>12.314583333331834</v>
      </c>
    </row>
    <row r="134" spans="1:4" x14ac:dyDescent="0.25">
      <c r="A134" s="11">
        <v>0.82042824074074072</v>
      </c>
      <c r="B134" s="3">
        <v>485</v>
      </c>
      <c r="C134" s="4">
        <f t="shared" si="4"/>
        <v>72.50000000001765</v>
      </c>
      <c r="D134" s="5">
        <f t="shared" si="5"/>
        <v>6.6896551724121647</v>
      </c>
    </row>
    <row r="135" spans="1:4" x14ac:dyDescent="0.25">
      <c r="A135" s="11">
        <v>0.82075231481481481</v>
      </c>
      <c r="B135" s="3">
        <v>460</v>
      </c>
      <c r="C135" s="4">
        <f t="shared" si="4"/>
        <v>53.571428571426317</v>
      </c>
      <c r="D135" s="5">
        <f t="shared" si="5"/>
        <v>8.5866666666670284</v>
      </c>
    </row>
    <row r="136" spans="1:4" x14ac:dyDescent="0.25">
      <c r="A136" s="11">
        <v>0.82101851851851848</v>
      </c>
      <c r="B136" s="3">
        <v>405</v>
      </c>
      <c r="C136" s="4">
        <f t="shared" ref="C136:C137" si="7">SUM((B135-B136)/((A136-A135)*86400)*60)</f>
        <v>143.4782608695827</v>
      </c>
      <c r="D136" s="5">
        <f t="shared" ref="D136:D137" si="8">SUM(B136/C136)</f>
        <v>2.822727272726929</v>
      </c>
    </row>
    <row r="137" spans="1:4" x14ac:dyDescent="0.25">
      <c r="A137" s="11">
        <v>0.82130787037037034</v>
      </c>
      <c r="B137" s="3">
        <v>373</v>
      </c>
      <c r="C137" s="4">
        <f t="shared" si="7"/>
        <v>76.799999999997823</v>
      </c>
      <c r="D137" s="5">
        <f t="shared" si="8"/>
        <v>4.8567708333334707</v>
      </c>
    </row>
    <row r="147" spans="1:2" x14ac:dyDescent="0.25">
      <c r="A147" s="12">
        <v>0.82150462962962967</v>
      </c>
      <c r="B147" s="8">
        <v>343</v>
      </c>
    </row>
    <row r="148" spans="1:2" x14ac:dyDescent="0.25">
      <c r="A148" s="12">
        <v>0.82185185185185183</v>
      </c>
      <c r="B148" s="8">
        <v>322</v>
      </c>
    </row>
    <row r="165" spans="1:2" x14ac:dyDescent="0.25">
      <c r="A165" s="12">
        <v>0.82212962962962965</v>
      </c>
      <c r="B165" s="8">
        <v>284</v>
      </c>
    </row>
    <row r="166" spans="1:2" x14ac:dyDescent="0.25">
      <c r="A166" s="12">
        <v>0.82233796296296291</v>
      </c>
      <c r="B166" s="8">
        <v>253</v>
      </c>
    </row>
    <row r="167" spans="1:2" x14ac:dyDescent="0.25">
      <c r="A167" s="12">
        <v>0.82267361111111104</v>
      </c>
      <c r="B167" s="8">
        <v>203</v>
      </c>
    </row>
    <row r="168" spans="1:2" x14ac:dyDescent="0.25">
      <c r="A168" s="12">
        <v>0.82300925925925927</v>
      </c>
      <c r="B168" s="8">
        <v>178</v>
      </c>
    </row>
    <row r="169" spans="1:2" x14ac:dyDescent="0.25">
      <c r="A169" s="13">
        <v>0.82315972222222233</v>
      </c>
      <c r="B169" s="8">
        <v>152</v>
      </c>
    </row>
    <row r="170" spans="1:2" x14ac:dyDescent="0.25">
      <c r="A170" s="13">
        <v>0.82343749999999993</v>
      </c>
      <c r="B170" s="8">
        <v>110</v>
      </c>
    </row>
    <row r="172" spans="1:2" x14ac:dyDescent="0.25">
      <c r="A172" s="13">
        <v>0.82377314814814817</v>
      </c>
      <c r="B172" s="8">
        <v>76</v>
      </c>
    </row>
    <row r="173" spans="1:2" x14ac:dyDescent="0.25">
      <c r="A173" s="13">
        <v>0.82405092592592588</v>
      </c>
      <c r="B173" s="8">
        <v>17</v>
      </c>
    </row>
  </sheetData>
  <customSheetViews>
    <customSheetView guid="{BCD8CDF1-28A7-48ED-B459-CC2754282EBB}">
      <selection activeCell="F108" sqref="F108"/>
      <pageMargins left="0.7" right="0.7" top="0.78740157499999996" bottom="0.78740157499999996" header="0.3" footer="0.3"/>
      <pageSetup paperSize="9" orientation="portrait" verticalDpi="0" r:id="rId1"/>
    </customSheetView>
  </customSheetViews>
  <pageMargins left="0.7" right="0.7" top="0.78740157499999996" bottom="0.78740157499999996" header="0.3" footer="0.3"/>
  <pageSetup paperSize="9" orientation="portrait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RefreshData">
                <anchor moveWithCells="1" sizeWithCells="1">
                  <from>
                    <xdr:col>16</xdr:col>
                    <xdr:colOff>619125</xdr:colOff>
                    <xdr:row>1</xdr:row>
                    <xdr:rowOff>152400</xdr:rowOff>
                  </from>
                  <to>
                    <xdr:col>18</xdr:col>
                    <xdr:colOff>619125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Tabelle1</vt:lpstr>
    </vt:vector>
  </TitlesOfParts>
  <Company>RTEC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Marcel Riesenbeck</dc:creator>
  <cp:lastModifiedBy>Marcel Riesenbeck</cp:lastModifiedBy>
  <dcterms:created xsi:type="dcterms:W3CDTF">2021-10-01T20:05:08Z</dcterms:created>
  <dcterms:modified xsi:type="dcterms:W3CDTF">2022-02-12T18:46:42Z</dcterms:modified>
</cp:coreProperties>
</file>